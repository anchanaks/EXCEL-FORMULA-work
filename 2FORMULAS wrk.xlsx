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75a05710ee71cb6/Desktop/data analyisi/"/>
    </mc:Choice>
  </mc:AlternateContent>
  <xr:revisionPtr revIDLastSave="0" documentId="8_{E9860EC9-2C8F-4A4A-9FBD-F0D619F15ED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genda" sheetId="1" r:id="rId1"/>
    <sheet name="Oper Precedence" sheetId="7" r:id="rId2"/>
    <sheet name="Formulas&amp;Description" sheetId="11" r:id="rId3"/>
    <sheet name="Formulas1" sheetId="4" r:id="rId4"/>
    <sheet name="Formulas" sheetId="3" r:id="rId5"/>
    <sheet name="Formulass" sheetId="12" r:id="rId6"/>
    <sheet name="Percentage Formulas" sheetId="9" r:id="rId7"/>
    <sheet name="FUNCTION" sheetId="5" r:id="rId8"/>
    <sheet name="FUNCTIONS" sheetId="6" r:id="rId9"/>
    <sheet name="GPT cache" sheetId="8" state="veryHidden" r:id="rId10"/>
  </sheets>
  <definedNames>
    <definedName name="_xlnm._FilterDatabase" localSheetId="3" hidden="1">Formulas1!$J$13:$L$13</definedName>
  </definedNames>
  <calcPr calcId="191029"/>
</workbook>
</file>

<file path=xl/calcChain.xml><?xml version="1.0" encoding="utf-8"?>
<calcChain xmlns="http://schemas.openxmlformats.org/spreadsheetml/2006/main">
  <c r="I19" i="11" l="1"/>
  <c r="I18" i="11"/>
  <c r="I17" i="11"/>
  <c r="I16" i="11"/>
  <c r="I15" i="11"/>
  <c r="I14" i="11"/>
  <c r="I13" i="11"/>
  <c r="H4" i="9"/>
  <c r="J23" i="9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J18" i="9" s="1"/>
  <c r="I19" i="9"/>
  <c r="J19" i="9" s="1"/>
  <c r="I20" i="9"/>
  <c r="J20" i="9" s="1"/>
  <c r="I21" i="9"/>
  <c r="J21" i="9" s="1"/>
  <c r="I22" i="9"/>
  <c r="J22" i="9" s="1"/>
  <c r="I23" i="9"/>
  <c r="I24" i="9"/>
  <c r="J24" i="9" s="1"/>
  <c r="I25" i="9"/>
  <c r="J25" i="9" s="1"/>
  <c r="I26" i="9"/>
  <c r="J26" i="9" s="1"/>
  <c r="I27" i="9"/>
  <c r="J27" i="9" s="1"/>
  <c r="I28" i="9"/>
  <c r="J28" i="9" s="1"/>
  <c r="I4" i="9"/>
  <c r="J4" i="9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4" i="9"/>
  <c r="J9" i="12"/>
  <c r="L9" i="12" s="1"/>
  <c r="J10" i="12"/>
  <c r="J11" i="12"/>
  <c r="L11" i="12" s="1"/>
  <c r="J4" i="12"/>
  <c r="L4" i="12" s="1"/>
  <c r="I9" i="12"/>
  <c r="I10" i="12"/>
  <c r="I11" i="12"/>
  <c r="I4" i="12"/>
  <c r="E5" i="12"/>
  <c r="I5" i="12" s="1"/>
  <c r="E6" i="12"/>
  <c r="E7" i="12"/>
  <c r="E8" i="12"/>
  <c r="I8" i="12" s="1"/>
  <c r="E9" i="12"/>
  <c r="E10" i="12"/>
  <c r="E11" i="12"/>
  <c r="E4" i="12"/>
  <c r="F5" i="12"/>
  <c r="F6" i="12"/>
  <c r="F7" i="12"/>
  <c r="F8" i="12"/>
  <c r="F9" i="12"/>
  <c r="F10" i="12"/>
  <c r="F11" i="12"/>
  <c r="F4" i="12"/>
  <c r="G11" i="12"/>
  <c r="G10" i="12"/>
  <c r="G9" i="12"/>
  <c r="G8" i="12"/>
  <c r="G7" i="12"/>
  <c r="G6" i="12"/>
  <c r="G5" i="12"/>
  <c r="G4" i="12"/>
  <c r="J14" i="3"/>
  <c r="M4" i="3"/>
  <c r="M5" i="3"/>
  <c r="M6" i="3"/>
  <c r="M7" i="3"/>
  <c r="M8" i="3"/>
  <c r="M9" i="3"/>
  <c r="M10" i="3"/>
  <c r="M11" i="3"/>
  <c r="M12" i="3"/>
  <c r="M13" i="3"/>
  <c r="M14" i="3"/>
  <c r="F4" i="3"/>
  <c r="I4" i="3" s="1"/>
  <c r="F5" i="3"/>
  <c r="I5" i="3" s="1"/>
  <c r="F6" i="3"/>
  <c r="I6" i="3" s="1"/>
  <c r="F7" i="3"/>
  <c r="I7" i="3" s="1"/>
  <c r="F8" i="3"/>
  <c r="F9" i="3"/>
  <c r="F10" i="3"/>
  <c r="I10" i="3" s="1"/>
  <c r="F11" i="3"/>
  <c r="F12" i="3"/>
  <c r="I12" i="3" s="1"/>
  <c r="F13" i="3"/>
  <c r="I13" i="3" s="1"/>
  <c r="I8" i="3"/>
  <c r="I9" i="3"/>
  <c r="I11" i="3"/>
  <c r="H14" i="3"/>
  <c r="G14" i="3"/>
  <c r="E14" i="3"/>
  <c r="D14" i="3"/>
  <c r="H14" i="4"/>
  <c r="F14" i="4"/>
  <c r="E14" i="4"/>
  <c r="D14" i="4"/>
  <c r="I5" i="4"/>
  <c r="I6" i="4"/>
  <c r="I9" i="4"/>
  <c r="I10" i="4"/>
  <c r="I11" i="4"/>
  <c r="I12" i="4"/>
  <c r="I13" i="4"/>
  <c r="G4" i="4"/>
  <c r="I4" i="4" s="1"/>
  <c r="G5" i="4"/>
  <c r="G6" i="4"/>
  <c r="G7" i="4"/>
  <c r="I7" i="4" s="1"/>
  <c r="G8" i="4"/>
  <c r="I8" i="4" s="1"/>
  <c r="G9" i="4"/>
  <c r="G10" i="4"/>
  <c r="G11" i="4"/>
  <c r="G12" i="4"/>
  <c r="G13" i="4"/>
  <c r="J12" i="11"/>
  <c r="J11" i="11"/>
  <c r="J10" i="11"/>
  <c r="J9" i="11"/>
  <c r="J8" i="11"/>
  <c r="J7" i="11"/>
  <c r="J6" i="11"/>
  <c r="J5" i="11"/>
  <c r="J4" i="11"/>
  <c r="L12" i="7"/>
  <c r="L9" i="7"/>
  <c r="L5" i="7"/>
  <c r="L6" i="7"/>
  <c r="M13" i="7"/>
  <c r="N8" i="7"/>
  <c r="M8" i="7"/>
  <c r="M7" i="7"/>
  <c r="K5" i="7"/>
  <c r="J8" i="12" l="1"/>
  <c r="M4" i="12"/>
  <c r="J5" i="12"/>
  <c r="I7" i="12"/>
  <c r="J7" i="12" s="1"/>
  <c r="I6" i="12"/>
  <c r="J6" i="12" s="1"/>
  <c r="L10" i="12"/>
  <c r="M10" i="12" s="1"/>
  <c r="M11" i="12"/>
  <c r="M9" i="12"/>
  <c r="F14" i="3"/>
  <c r="I14" i="3" s="1"/>
  <c r="K14" i="3" s="1"/>
  <c r="K5" i="3"/>
  <c r="L5" i="3"/>
  <c r="L6" i="3"/>
  <c r="K6" i="3"/>
  <c r="L7" i="3"/>
  <c r="K7" i="3"/>
  <c r="L8" i="3"/>
  <c r="K8" i="3"/>
  <c r="L9" i="3"/>
  <c r="K9" i="3"/>
  <c r="L10" i="3"/>
  <c r="K10" i="3"/>
  <c r="L11" i="3"/>
  <c r="K11" i="3"/>
  <c r="L4" i="3"/>
  <c r="K4" i="3"/>
  <c r="L12" i="3"/>
  <c r="K12" i="3"/>
  <c r="L13" i="3"/>
  <c r="K13" i="3"/>
  <c r="G14" i="4"/>
  <c r="I14" i="4" s="1"/>
  <c r="I4" i="11"/>
  <c r="K11" i="11"/>
  <c r="I11" i="11"/>
  <c r="I12" i="11"/>
  <c r="L7" i="12" l="1"/>
  <c r="M7" i="12" s="1"/>
  <c r="L6" i="12"/>
  <c r="M6" i="12" s="1"/>
  <c r="L5" i="12"/>
  <c r="M5" i="12" s="1"/>
  <c r="L8" i="12"/>
  <c r="M8" i="12" s="1"/>
  <c r="L14" i="3"/>
  <c r="I10" i="11"/>
  <c r="I9" i="11"/>
  <c r="I8" i="11"/>
  <c r="I7" i="11"/>
  <c r="I6" i="11"/>
  <c r="I5" i="11"/>
  <c r="K15" i="7" l="1"/>
  <c r="M53" i="3" l="1"/>
  <c r="M52" i="3"/>
  <c r="F7" i="7" l="1"/>
  <c r="F6" i="7"/>
  <c r="F8" i="7"/>
  <c r="F13" i="7"/>
  <c r="F12" i="7"/>
  <c r="F11" i="7"/>
  <c r="F9" i="7"/>
  <c r="F10" i="7" s="1"/>
</calcChain>
</file>

<file path=xl/sharedStrings.xml><?xml version="1.0" encoding="utf-8"?>
<sst xmlns="http://schemas.openxmlformats.org/spreadsheetml/2006/main" count="289" uniqueCount="256">
  <si>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</t>
    </r>
    <r>
      <rPr>
        <b/>
        <u/>
        <sz val="20"/>
        <color theme="1"/>
        <rFont val="Calibri"/>
        <family val="2"/>
        <scheme val="minor"/>
      </rPr>
      <t>INTRODUCTION TO FORMULAS &amp; FUNCTIONS</t>
    </r>
  </si>
  <si>
    <t>Agenda</t>
  </si>
  <si>
    <t>1. Precedence Order of Operators</t>
  </si>
  <si>
    <t>2. Formulas and Functions</t>
  </si>
  <si>
    <t xml:space="preserve">                                                                     OPERATOR PRECEDENCE</t>
  </si>
  <si>
    <r>
      <rPr>
        <b/>
        <sz val="22"/>
        <color theme="1"/>
        <rFont val="Calibri"/>
        <family val="2"/>
        <scheme val="minor"/>
      </rPr>
      <t xml:space="preserve">                                                                </t>
    </r>
    <r>
      <rPr>
        <b/>
        <u/>
        <sz val="20"/>
        <color theme="1"/>
        <rFont val="Calibri"/>
        <family val="2"/>
        <scheme val="minor"/>
      </rPr>
      <t>FORMULAS</t>
    </r>
  </si>
  <si>
    <t xml:space="preserve"> NO</t>
  </si>
  <si>
    <t>EMPLOYEES'S NAME</t>
  </si>
  <si>
    <t>EMPLOYEE'S ID NO</t>
  </si>
  <si>
    <t>EMPLOYEE'S BASIC SALARY</t>
  </si>
  <si>
    <t>FOOD ALLOWANCE</t>
  </si>
  <si>
    <t>OVERTIME</t>
  </si>
  <si>
    <t>GROSS SALARY</t>
  </si>
  <si>
    <t xml:space="preserve">ADVANCE </t>
  </si>
  <si>
    <t>NET SALARY</t>
  </si>
  <si>
    <t>ASKER</t>
  </si>
  <si>
    <t>0000001</t>
  </si>
  <si>
    <t>AFRATH</t>
  </si>
  <si>
    <t>0000002</t>
  </si>
  <si>
    <t>NISAR</t>
  </si>
  <si>
    <t>0000003</t>
  </si>
  <si>
    <t>AMJATH</t>
  </si>
  <si>
    <t>0000004</t>
  </si>
  <si>
    <t>RAMU</t>
  </si>
  <si>
    <t>0000005</t>
  </si>
  <si>
    <t>AJESH</t>
  </si>
  <si>
    <t>0000006</t>
  </si>
  <si>
    <t>NOUFAL</t>
  </si>
  <si>
    <t>0000007</t>
  </si>
  <si>
    <t>ANVER</t>
  </si>
  <si>
    <t>0000008</t>
  </si>
  <si>
    <t>BALU</t>
  </si>
  <si>
    <t>0000009</t>
  </si>
  <si>
    <t>KARTHIK</t>
  </si>
  <si>
    <t>0000010</t>
  </si>
  <si>
    <t>TOTAL</t>
  </si>
  <si>
    <t>NOTE</t>
  </si>
  <si>
    <r>
      <rPr>
        <b/>
        <sz val="11"/>
        <color rgb="FFC00000"/>
        <rFont val="Calibri"/>
        <family val="2"/>
        <scheme val="minor"/>
      </rPr>
      <t xml:space="preserve">GROSS SALARY </t>
    </r>
    <r>
      <rPr>
        <b/>
        <sz val="11"/>
        <color theme="1"/>
        <rFont val="Calibri"/>
        <family val="2"/>
        <scheme val="minor"/>
      </rPr>
      <t xml:space="preserve"> =EM. BASIC SALARY +FOOD ALLOWANCES +OVERTIME ALLOWANCES </t>
    </r>
  </si>
  <si>
    <r>
      <rPr>
        <b/>
        <sz val="11"/>
        <color rgb="FFC00000"/>
        <rFont val="Calibri"/>
        <family val="2"/>
        <scheme val="minor"/>
      </rPr>
      <t xml:space="preserve">NET SALARY    </t>
    </r>
    <r>
      <rPr>
        <b/>
        <sz val="11"/>
        <color theme="1"/>
        <rFont val="Calibri"/>
        <family val="2"/>
        <scheme val="minor"/>
      </rPr>
      <t xml:space="preserve"> = GROSS SALARY-ADVANCE </t>
    </r>
  </si>
  <si>
    <t>Q1) CALCULATE THE GROSS SALARY AND NET SALARY OF EACH EMPLOYEES BY USING FORMULAS?</t>
  </si>
  <si>
    <t>Q2) CALCULATE TOTAL EMPLOYEE'S BASIC SALARY ,FOOD ALLOWANCE,OVERTIME ALLOWANCE,GROSS SALARY ,ADVANCE, NET SALARY BY USING FORMULAS ?</t>
  </si>
  <si>
    <r>
      <rPr>
        <b/>
        <sz val="22"/>
        <color theme="1"/>
        <rFont val="Calibri"/>
        <family val="2"/>
        <scheme val="minor"/>
      </rPr>
      <t xml:space="preserve">                                                                   </t>
    </r>
    <r>
      <rPr>
        <b/>
        <u/>
        <sz val="22"/>
        <color theme="1"/>
        <rFont val="Calibri"/>
        <family val="2"/>
        <scheme val="minor"/>
      </rPr>
      <t>FORMULAS</t>
    </r>
  </si>
  <si>
    <t>INCREMENT (10%)</t>
  </si>
  <si>
    <t>INCREAMENT</t>
  </si>
  <si>
    <t>OVERTIME  ALLOWANCE</t>
  </si>
  <si>
    <t>PER DAY GROSS SALARY</t>
  </si>
  <si>
    <t>NOTE -</t>
  </si>
  <si>
    <r>
      <rPr>
        <b/>
        <sz val="11"/>
        <color rgb="FFC00000"/>
        <rFont val="Calibri"/>
        <family val="2"/>
        <scheme val="minor"/>
      </rPr>
      <t>GROSS SALARY</t>
    </r>
    <r>
      <rPr>
        <b/>
        <sz val="11"/>
        <color theme="1"/>
        <rFont val="Calibri"/>
        <family val="2"/>
        <scheme val="minor"/>
      </rPr>
      <t xml:space="preserve"> =EM. BASIC SALARY +INCREMENT +FOOD ALLOWANCES +OVERTIME ALLOWANCES </t>
    </r>
  </si>
  <si>
    <r>
      <rPr>
        <b/>
        <sz val="11"/>
        <color rgb="FFC00000"/>
        <rFont val="Calibri"/>
        <family val="2"/>
        <scheme val="minor"/>
      </rPr>
      <t xml:space="preserve">NET SALARY    </t>
    </r>
    <r>
      <rPr>
        <b/>
        <sz val="11"/>
        <color theme="1"/>
        <rFont val="Calibri"/>
        <family val="2"/>
        <scheme val="minor"/>
      </rPr>
      <t xml:space="preserve"> =GROSS SALARY-ADVANCE </t>
    </r>
  </si>
  <si>
    <t xml:space="preserve">INCREAMENT FOR EACH EMPLOYEES 10% FROM THEIR BASIC SALARY </t>
  </si>
  <si>
    <t>Q1) CALCULATE THE GROSS SALARY, INCREAMENT AMOUNT AND  NET SALARY OF EACH EMPLOYEES BY USING FORMULAS?</t>
  </si>
  <si>
    <t>Q2) CALCULATE THE PER DAY GROSS SALARY OF EACH EMPLOYEES BY USING FORMULAS?</t>
  </si>
  <si>
    <t>Q3) CALCULATE TOTAL EMPLOYEE'S BASIC SALARY , INCREAMENT AMOUNT ,FOOD ALLOWANCE,OVERTIME ALLOWANCE,GROSS SALARY ,ADVANCE, NET SALARY BY USING FORMULAS ?</t>
  </si>
  <si>
    <r>
      <rPr>
        <b/>
        <sz val="22"/>
        <color theme="1"/>
        <rFont val="Calibri"/>
        <family val="2"/>
        <scheme val="minor"/>
      </rPr>
      <t xml:space="preserve">                                                                  </t>
    </r>
    <r>
      <rPr>
        <b/>
        <u/>
        <sz val="22"/>
        <color theme="1"/>
        <rFont val="Calibri"/>
        <family val="2"/>
        <scheme val="minor"/>
      </rPr>
      <t>FUNCTIONS</t>
    </r>
  </si>
  <si>
    <r>
      <rPr>
        <sz val="14"/>
        <color theme="1"/>
        <rFont val="Calibri"/>
        <family val="2"/>
        <scheme val="minor"/>
      </rPr>
      <t>•</t>
    </r>
    <r>
      <rPr>
        <sz val="14"/>
        <color rgb="FF000000"/>
        <rFont val="Arial"/>
        <family val="2"/>
      </rPr>
      <t>MATHEMATICAL FUNCTIONS</t>
    </r>
  </si>
  <si>
    <r>
      <rPr>
        <sz val="14"/>
        <color theme="1"/>
        <rFont val="Calibri"/>
        <family val="2"/>
        <scheme val="minor"/>
      </rPr>
      <t>•</t>
    </r>
    <r>
      <rPr>
        <sz val="14"/>
        <color rgb="FF000000"/>
        <rFont val="Arial"/>
        <family val="2"/>
      </rPr>
      <t>TEXT FUNCTIONS</t>
    </r>
  </si>
  <si>
    <r>
      <rPr>
        <sz val="14"/>
        <color theme="1"/>
        <rFont val="Calibri"/>
        <family val="2"/>
        <scheme val="minor"/>
      </rPr>
      <t>•</t>
    </r>
    <r>
      <rPr>
        <sz val="14"/>
        <color rgb="FF000000"/>
        <rFont val="Arial"/>
        <family val="2"/>
      </rPr>
      <t>DATE AND TIME FUNCTION</t>
    </r>
  </si>
  <si>
    <r>
      <rPr>
        <sz val="14"/>
        <color theme="1"/>
        <rFont val="Calibri"/>
        <family val="2"/>
        <scheme val="minor"/>
      </rPr>
      <t>•</t>
    </r>
    <r>
      <rPr>
        <sz val="14"/>
        <color rgb="FF000000"/>
        <rFont val="Arial"/>
        <family val="2"/>
      </rPr>
      <t>LOGICAL FUNCTION</t>
    </r>
  </si>
  <si>
    <r>
      <rPr>
        <sz val="14"/>
        <color theme="1"/>
        <rFont val="Calibri"/>
        <family val="2"/>
        <scheme val="minor"/>
      </rPr>
      <t>•</t>
    </r>
    <r>
      <rPr>
        <sz val="14"/>
        <color rgb="FF000000"/>
        <rFont val="Arial"/>
        <family val="2"/>
      </rPr>
      <t>DATA VALIDATION AND FILTER</t>
    </r>
  </si>
  <si>
    <t>MATHEMATICAL FUNCTION</t>
  </si>
  <si>
    <t>TEXT FUNCTIONS</t>
  </si>
  <si>
    <t>DATE &amp; TIME FUNCION</t>
  </si>
  <si>
    <t>LOGICAL FUNCTIONS</t>
  </si>
  <si>
    <t>DATA VALIDATION &amp; FILTER FUNCTION</t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</si>
  <si>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SUM</t>
    </r>
  </si>
  <si>
    <t>•LEFT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</si>
  <si>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NOW FUNCTION</t>
    </r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</si>
  <si>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VLOOKUP</t>
    </r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</si>
  <si>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DATA VALIDATION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</si>
  <si>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AVERAGE</t>
    </r>
  </si>
  <si>
    <t>•RIGHT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</si>
  <si>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TODAY FUNCTION</t>
    </r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</si>
  <si>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IF</t>
    </r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</si>
  <si>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FILTER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</si>
  <si>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MAX</t>
    </r>
  </si>
  <si>
    <t xml:space="preserve">•CONCATENATE
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</si>
  <si>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YEAR FUNCTION</t>
    </r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</si>
  <si>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AND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</si>
  <si>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MIN</t>
    </r>
  </si>
  <si>
    <t xml:space="preserve">•UPPER
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</si>
  <si>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MONTH FUNCTION</t>
    </r>
  </si>
  <si>
    <t xml:space="preserve">     •OR</t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</si>
  <si>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ROUND</t>
    </r>
  </si>
  <si>
    <t xml:space="preserve">•LOWER
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</si>
  <si>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DAY FUNCTION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</si>
  <si>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SUMIF</t>
    </r>
  </si>
  <si>
    <t>•MID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</si>
  <si>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HOUR FUNCTION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</si>
  <si>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COUNT</t>
    </r>
  </si>
  <si>
    <t>•TRIM</t>
  </si>
  <si>
    <r>
      <rPr>
        <sz val="16"/>
        <color theme="1"/>
        <rFont val="Calibri"/>
        <family val="2"/>
        <scheme val="minor"/>
      </rPr>
      <t>•</t>
    </r>
    <r>
      <rPr>
        <sz val="16"/>
        <color rgb="FF000000"/>
        <rFont val="Arial"/>
        <family val="2"/>
      </rPr>
      <t>MINUTE FUNCTION</t>
    </r>
  </si>
  <si>
    <r>
      <rPr>
        <sz val="18"/>
        <color theme="1"/>
        <rFont val="Calibri"/>
        <family val="2"/>
        <scheme val="minor"/>
      </rPr>
      <t>•</t>
    </r>
    <r>
      <rPr>
        <sz val="18"/>
        <color rgb="FF000000"/>
        <rFont val="Arial"/>
        <family val="2"/>
      </rPr>
      <t>COUNTA</t>
    </r>
  </si>
  <si>
    <t xml:space="preserve">•REPT FUNCTION
</t>
  </si>
  <si>
    <t xml:space="preserve">      •SECOND FUNCTION</t>
  </si>
  <si>
    <r>
      <rPr>
        <sz val="18"/>
        <color rgb="FF000000"/>
        <rFont val="Arial"/>
        <family val="2"/>
      </rPr>
      <t xml:space="preserve">      </t>
    </r>
    <r>
      <rPr>
        <sz val="20"/>
        <color rgb="FF000000"/>
        <rFont val="Arial"/>
        <family val="2"/>
      </rPr>
      <t>•</t>
    </r>
    <r>
      <rPr>
        <sz val="18"/>
        <color rgb="FF000000"/>
        <rFont val="Arial"/>
        <family val="2"/>
      </rPr>
      <t>COUNTIF</t>
    </r>
  </si>
  <si>
    <t>•TYPE FUNCTION</t>
  </si>
  <si>
    <t xml:space="preserve">        •TIME FUNCTION</t>
  </si>
  <si>
    <t>Operator</t>
  </si>
  <si>
    <t>Description</t>
  </si>
  <si>
    <t>Example</t>
  </si>
  <si>
    <t>Precedence</t>
  </si>
  <si>
    <t>( )</t>
  </si>
  <si>
    <t>Parentheses (used to group expressions)</t>
  </si>
  <si>
    <r>
      <t>=(2+3)*4</t>
    </r>
    <r>
      <rPr>
        <sz val="11"/>
        <rFont val="Calibri"/>
        <family val="2"/>
      </rPr>
      <t xml:space="preserve"> (result is 20)</t>
    </r>
  </si>
  <si>
    <t>,</t>
  </si>
  <si>
    <t>Union (combines multiple references)</t>
  </si>
  <si>
    <t>:</t>
  </si>
  <si>
    <t>Range (references all cells between)</t>
  </si>
  <si>
    <t>=</t>
  </si>
  <si>
    <t>Equal to</t>
  </si>
  <si>
    <t>&lt;&gt;</t>
  </si>
  <si>
    <t>Not 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</si>
  <si>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</si>
  <si>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</si>
  <si>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</si>
  <si>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</si>
  <si>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</si>
  <si>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</si>
  <si>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</si>
  <si>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</si>
  <si>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&amp;</t>
  </si>
  <si>
    <t>Concatenation (joins text)</t>
  </si>
  <si>
    <t>+</t>
  </si>
  <si>
    <t>Addition</t>
  </si>
  <si>
    <r>
      <t>=2+3</t>
    </r>
    <r>
      <rPr>
        <sz val="11"/>
        <rFont val="Calibri"/>
        <family val="2"/>
      </rPr>
      <t xml:space="preserve"> (result is 5)</t>
    </r>
  </si>
  <si>
    <t>-</t>
  </si>
  <si>
    <t>Subtraction</t>
  </si>
  <si>
    <r>
      <t>=5-2</t>
    </r>
    <r>
      <rPr>
        <sz val="11"/>
        <rFont val="Calibri"/>
        <family val="2"/>
      </rPr>
      <t xml:space="preserve"> (result is 3)</t>
    </r>
  </si>
  <si>
    <t>*</t>
  </si>
  <si>
    <t>Multiplication</t>
  </si>
  <si>
    <r>
      <t>=2*3</t>
    </r>
    <r>
      <rPr>
        <sz val="11"/>
        <rFont val="Calibri"/>
        <family val="2"/>
      </rPr>
      <t xml:space="preserve"> (result is 6)</t>
    </r>
  </si>
  <si>
    <t>/</t>
  </si>
  <si>
    <t>Division</t>
  </si>
  <si>
    <r>
      <t>=6/2</t>
    </r>
    <r>
      <rPr>
        <sz val="11"/>
        <rFont val="Calibri"/>
        <family val="2"/>
      </rPr>
      <t xml:space="preserve"> (result is 3)</t>
    </r>
  </si>
  <si>
    <t>^</t>
  </si>
  <si>
    <t>Exponentiation</t>
  </si>
  <si>
    <r>
      <t>=2^3</t>
    </r>
    <r>
      <rPr>
        <sz val="11"/>
        <rFont val="Calibri"/>
        <family val="2"/>
      </rPr>
      <t xml:space="preserve"> (result is 8)</t>
    </r>
  </si>
  <si>
    <t>incremented salary</t>
  </si>
  <si>
    <t>{"hash":"75d509aad07ed1f84e55face1c12919fd2f1febd8c9165e67ff2c71e356d70ae","version":1,"value":"[[\"=AVERAGEIF(A1:A23, \\\"&gt;5000\\\")\"]]"}</t>
  </si>
  <si>
    <r>
      <t>•</t>
    </r>
    <r>
      <rPr>
        <sz val="20"/>
        <color theme="1"/>
        <rFont val="Calibri"/>
        <family val="2"/>
        <scheme val="minor"/>
      </rPr>
      <t>H</t>
    </r>
    <r>
      <rPr>
        <sz val="16"/>
        <color rgb="FF000000"/>
        <rFont val="Arial"/>
        <family val="2"/>
      </rPr>
      <t>LOOKUP</t>
    </r>
  </si>
  <si>
    <r>
      <t>•</t>
    </r>
    <r>
      <rPr>
        <sz val="20"/>
        <color theme="1"/>
        <rFont val="Calibri"/>
        <family val="2"/>
        <scheme val="minor"/>
      </rPr>
      <t>X</t>
    </r>
    <r>
      <rPr>
        <sz val="16"/>
        <color rgb="FF000000"/>
        <rFont val="Arial"/>
        <family val="2"/>
      </rPr>
      <t>LOOKUP</t>
    </r>
  </si>
  <si>
    <t>Raju</t>
  </si>
  <si>
    <t>Rammu</t>
  </si>
  <si>
    <t>Product</t>
  </si>
  <si>
    <t>Cost Price (₹)</t>
  </si>
  <si>
    <t>Selling Price (₹)</t>
  </si>
  <si>
    <t>Discount Given (%)</t>
  </si>
  <si>
    <t>Tax Rate (%)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</si>
  <si>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</si>
  <si>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</si>
  <si>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</si>
  <si>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</si>
  <si>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</si>
  <si>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</si>
  <si>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</si>
  <si>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</si>
  <si>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</si>
  <si>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</si>
  <si>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</si>
  <si>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</si>
  <si>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</si>
  <si>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</si>
  <si>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</si>
  <si>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</si>
  <si>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</si>
  <si>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</si>
  <si>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</si>
  <si>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</si>
  <si>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</si>
  <si>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</si>
  <si>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</si>
  <si>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</si>
  <si>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</si>
  <si>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What % profit was made?</t>
  </si>
  <si>
    <t>%Profit</t>
  </si>
  <si>
    <t xml:space="preserve"> Discount Applied on Selling Price</t>
  </si>
  <si>
    <t>Final Price After Discount</t>
  </si>
  <si>
    <t>Discount
 Applied</t>
  </si>
  <si>
    <t>Final Price
After Discount</t>
  </si>
  <si>
    <t>Add Tax to Final Price</t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</si>
  <si>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>Note:(Selling Price - Cost Price) / Cost Price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</si>
  <si>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 xml:space="preserve"> Note:Selling Price*(Discount % / 100) 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</si>
  <si>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>Note:Selling Price - (Selling Price * Discount % / 100)</t>
    </r>
  </si>
  <si>
    <r>
      <rPr>
        <sz val="11"/>
        <color rgb="FFFF0000"/>
        <rFont val="Calibri"/>
        <family val="2"/>
        <scheme val="minor"/>
      </rPr>
      <t>📌</t>
    </r>
    <r>
      <rPr>
        <sz val="11"/>
        <color theme="1"/>
        <rFont val="Calibri"/>
        <family val="2"/>
        <scheme val="minor"/>
      </rPr>
      <t>Note:Final Price + (Final Price * Tax Rate % / 100)</t>
    </r>
  </si>
  <si>
    <t>Final
 Price With tax</t>
  </si>
  <si>
    <t>Formula</t>
  </si>
  <si>
    <t>Adds values in A1 and B1</t>
  </si>
  <si>
    <t>Subtracts B2 from A2</t>
  </si>
  <si>
    <t>Multiplies A3 by B3</t>
  </si>
  <si>
    <t>Divides A4 by B4</t>
  </si>
  <si>
    <t>Adds A5 and B5, then subtracts C5</t>
  </si>
  <si>
    <t>Adds A6 and B6, then multiplies by C6</t>
  </si>
  <si>
    <t>Finds 10% of A7</t>
  </si>
  <si>
    <t>Adds 18% GST to A8</t>
  </si>
  <si>
    <t>Calculates percentage change</t>
  </si>
  <si>
    <t>A1 + B1</t>
  </si>
  <si>
    <t>A2 - B2</t>
  </si>
  <si>
    <t>A3 * B3</t>
  </si>
  <si>
    <t>A4 / B4</t>
  </si>
  <si>
    <t>(A6 + B6) * C6</t>
  </si>
  <si>
    <t>A7 * 10%</t>
  </si>
  <si>
    <t>A8 * 1.18</t>
  </si>
  <si>
    <t>(A15 + B15) / 2</t>
  </si>
  <si>
    <t>Calculates average of two numbers</t>
  </si>
  <si>
    <t>A17 * (1 - 10%)</t>
  </si>
  <si>
    <t>Decreases A17 by 10%</t>
  </si>
  <si>
    <t>(B20 - A20) / B20</t>
  </si>
  <si>
    <t>Finds what percent A20 is less than B20</t>
  </si>
  <si>
    <t>A21 * 12</t>
  </si>
  <si>
    <t>Converts monthly value in A21 to annual</t>
  </si>
  <si>
    <t>A22 / 12</t>
  </si>
  <si>
    <t>Converts annual value in A22 to monthly</t>
  </si>
  <si>
    <t>A24 * 0.5</t>
  </si>
  <si>
    <t>Finds 50% of A24</t>
  </si>
  <si>
    <t>(A28 + B28 + C28) / 3</t>
  </si>
  <si>
    <t>Average of three values (manual way)</t>
  </si>
  <si>
    <t>Quantity (A)</t>
  </si>
  <si>
    <t>Rate (B)</t>
  </si>
  <si>
    <t>GST % (D)</t>
  </si>
  <si>
    <t>Pen</t>
  </si>
  <si>
    <t>Book</t>
  </si>
  <si>
    <t>Bag</t>
  </si>
  <si>
    <t>Bottle</t>
  </si>
  <si>
    <t>Notebook</t>
  </si>
  <si>
    <t>Pencil Box</t>
  </si>
  <si>
    <t>File</t>
  </si>
  <si>
    <t>Scale</t>
  </si>
  <si>
    <r>
      <t xml:space="preserve">Find the </t>
    </r>
    <r>
      <rPr>
        <b/>
        <sz val="11"/>
        <color theme="1"/>
        <rFont val="Calibri"/>
        <family val="2"/>
        <scheme val="minor"/>
      </rPr>
      <t>total price before discount</t>
    </r>
    <r>
      <rPr>
        <sz val="11"/>
        <color theme="1"/>
        <rFont val="Calibri"/>
        <family val="2"/>
        <scheme val="minor"/>
      </rPr>
      <t xml:space="preserve"> (Quantity × Rate).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</si>
  <si>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discount amount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</si>
  <si>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price after discount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</si>
  <si>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GST amount</t>
    </r>
    <r>
      <rPr>
        <sz val="11"/>
        <color theme="1"/>
        <rFont val="Calibri"/>
        <family val="2"/>
        <scheme val="minor"/>
      </rPr>
      <t xml:space="preserve"> on the discounted price.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</si>
  <si>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final amount after discount and GST</t>
    </r>
    <r>
      <rPr>
        <sz val="11"/>
        <color theme="1"/>
        <rFont val="Calibri"/>
        <family val="2"/>
        <scheme val="minor"/>
      </rPr>
      <t>.</t>
    </r>
  </si>
  <si>
    <r>
      <t xml:space="preserve">Increase the </t>
    </r>
    <r>
      <rPr>
        <b/>
        <sz val="11"/>
        <color theme="1"/>
        <rFont val="Calibri"/>
        <family val="2"/>
        <scheme val="minor"/>
      </rPr>
      <t>rate by 10%</t>
    </r>
    <r>
      <rPr>
        <sz val="11"/>
        <color theme="1"/>
        <rFont val="Calibri"/>
        <family val="2"/>
        <scheme val="minor"/>
      </rPr>
      <t xml:space="preserve"> and find the new rate.</t>
    </r>
  </si>
  <si>
    <r>
      <t xml:space="preserve">Decrease the </t>
    </r>
    <r>
      <rPr>
        <b/>
        <sz val="11"/>
        <color theme="1"/>
        <rFont val="Calibri"/>
        <family val="2"/>
        <scheme val="minor"/>
      </rPr>
      <t>rate by 5%</t>
    </r>
    <r>
      <rPr>
        <sz val="11"/>
        <color theme="1"/>
        <rFont val="Calibri"/>
        <family val="2"/>
        <scheme val="minor"/>
      </rPr>
      <t xml:space="preserve"> and find the new rate.</t>
    </r>
  </si>
  <si>
    <t>Answer Formula (use for each row)</t>
  </si>
  <si>
    <t>Tottal Price Before dis</t>
  </si>
  <si>
    <t>Discount %</t>
  </si>
  <si>
    <t>Discount Amount</t>
  </si>
  <si>
    <t>Price After Disc</t>
  </si>
  <si>
    <t>GST Amount</t>
  </si>
  <si>
    <t>Quantity × Rate</t>
  </si>
  <si>
    <t>(Quantity × Rate) × Discount % ÷ 100</t>
  </si>
  <si>
    <t>Total Price − Discount Amount</t>
  </si>
  <si>
    <t>Price After Discount × GST % ÷ 100</t>
  </si>
  <si>
    <t>Price After Discount + GST Amount</t>
  </si>
  <si>
    <t>Rate + 10% Increase(B2 * 1.1)</t>
  </si>
  <si>
    <t>Rate − 5% Decrease(B2 * 0.95)</t>
  </si>
  <si>
    <t>Final Amount Aftr Dis and GST</t>
  </si>
  <si>
    <t>Increase the rate by 10%</t>
  </si>
  <si>
    <t>Decre the rate by 5%</t>
  </si>
  <si>
    <t>(A5 + B5) - C5</t>
  </si>
  <si>
    <t>Method 1</t>
  </si>
  <si>
    <t>Method 2</t>
  </si>
  <si>
    <t>Method 3</t>
  </si>
  <si>
    <t xml:space="preserve">                                                                     Formula &amp; Description</t>
  </si>
  <si>
    <t>(B10 - A10) / A10*100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</si>
</sst>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sz val="18"/>
      <color rgb="FF000000"/>
      <name val="Arial"/>
      <family val="2"/>
    </font>
    <font>
      <sz val="16"/>
      <color theme="1"/>
      <name val="Arial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4"/>
      <color rgb="FF000000"/>
      <name val="Arial"/>
      <family val="2"/>
    </font>
    <font>
      <b/>
      <u/>
      <sz val="2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2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 Unicode MS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</cellStyleXfs>
  <cellXfs count="10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2" xfId="0" applyFill="1" applyBorder="1">
      <alignment vertical="center"/>
    </xf>
    <xf numFmtId="0" fontId="21" fillId="2" borderId="13" xfId="0" applyFon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16" fillId="2" borderId="15" xfId="0" applyFont="1" applyFill="1" applyBorder="1">
      <alignment vertical="center"/>
    </xf>
    <xf numFmtId="0" fontId="16" fillId="2" borderId="0" xfId="0" applyFont="1" applyFill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5" xfId="0" applyFill="1" applyBorder="1">
      <alignment vertical="center"/>
    </xf>
    <xf numFmtId="0" fontId="16" fillId="2" borderId="0" xfId="0" applyFont="1" applyFill="1" applyAlignment="1">
      <alignment horizontal="left" vertical="center" readingOrder="1"/>
    </xf>
    <xf numFmtId="0" fontId="16" fillId="2" borderId="9" xfId="0" applyFont="1" applyFill="1" applyBorder="1">
      <alignment vertical="center"/>
    </xf>
    <xf numFmtId="0" fontId="16" fillId="2" borderId="7" xfId="0" applyFont="1" applyFill="1" applyBorder="1">
      <alignment vertical="center"/>
    </xf>
    <xf numFmtId="0" fontId="16" fillId="2" borderId="10" xfId="0" applyFont="1" applyFill="1" applyBorder="1">
      <alignment vertical="center"/>
    </xf>
    <xf numFmtId="0" fontId="10" fillId="2" borderId="1" xfId="0" applyFont="1" applyFill="1" applyBorder="1">
      <alignment vertical="center"/>
    </xf>
    <xf numFmtId="164" fontId="18" fillId="0" borderId="1" xfId="1" applyNumberFormat="1" applyFont="1" applyFill="1" applyBorder="1" applyAlignment="1"/>
    <xf numFmtId="164" fontId="19" fillId="0" borderId="1" xfId="0" applyNumberFormat="1" applyFont="1" applyBorder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wrapText="1"/>
    </xf>
    <xf numFmtId="49" fontId="17" fillId="0" borderId="1" xfId="0" applyNumberFormat="1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/>
    <xf numFmtId="0" fontId="0" fillId="0" borderId="1" xfId="0" applyBorder="1">
      <alignment vertical="center"/>
    </xf>
    <xf numFmtId="0" fontId="0" fillId="0" borderId="1" xfId="0" applyBorder="1" applyAlignment="1"/>
    <xf numFmtId="49" fontId="0" fillId="0" borderId="1" xfId="0" applyNumberFormat="1" applyBorder="1" applyAlignment="1"/>
    <xf numFmtId="164" fontId="0" fillId="0" borderId="1" xfId="1" applyNumberFormat="1" applyFont="1" applyFill="1" applyBorder="1" applyAlignment="1"/>
    <xf numFmtId="0" fontId="18" fillId="0" borderId="1" xfId="0" applyFont="1" applyBorder="1" applyAlignment="1">
      <alignment horizontal="right"/>
    </xf>
    <xf numFmtId="0" fontId="0" fillId="0" borderId="11" xfId="0" applyBorder="1">
      <alignment vertical="center"/>
    </xf>
    <xf numFmtId="0" fontId="18" fillId="0" borderId="1" xfId="0" applyFont="1" applyBorder="1" applyAlignment="1"/>
    <xf numFmtId="2" fontId="0" fillId="0" borderId="1" xfId="1" applyNumberFormat="1" applyFont="1" applyFill="1" applyBorder="1" applyAlignment="1"/>
    <xf numFmtId="165" fontId="18" fillId="0" borderId="1" xfId="0" applyNumberFormat="1" applyFont="1" applyBorder="1" applyAlignment="1"/>
    <xf numFmtId="164" fontId="18" fillId="0" borderId="1" xfId="0" applyNumberFormat="1" applyFont="1" applyBorder="1" applyAlignment="1"/>
    <xf numFmtId="0" fontId="1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indent="4" readingOrder="1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10" fillId="0" borderId="1" xfId="0" applyFont="1" applyBorder="1" applyAlignment="1">
      <alignment horizontal="left" vertical="center" indent="4" readingOrder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indent="4" readingOrder="1"/>
    </xf>
    <xf numFmtId="0" fontId="10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 readingOrder="1"/>
    </xf>
    <xf numFmtId="0" fontId="14" fillId="0" borderId="1" xfId="0" applyFont="1" applyBorder="1">
      <alignment vertical="center"/>
    </xf>
    <xf numFmtId="0" fontId="27" fillId="0" borderId="0" xfId="0" applyFont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" fontId="29" fillId="0" borderId="0" xfId="0" applyNumberFormat="1" applyFont="1" applyAlignment="1">
      <alignment vertical="center" wrapText="1"/>
    </xf>
    <xf numFmtId="1" fontId="28" fillId="0" borderId="0" xfId="0" applyNumberFormat="1" applyFont="1" applyAlignment="1">
      <alignment vertical="center" wrapText="1"/>
    </xf>
    <xf numFmtId="1" fontId="0" fillId="0" borderId="0" xfId="0" applyNumberFormat="1">
      <alignment vertical="center"/>
    </xf>
    <xf numFmtId="164" fontId="0" fillId="0" borderId="11" xfId="0" applyNumberFormat="1" applyBorder="1">
      <alignment vertical="center"/>
    </xf>
    <xf numFmtId="0" fontId="8" fillId="0" borderId="0" xfId="0" applyFont="1">
      <alignment vertical="center"/>
    </xf>
    <xf numFmtId="165" fontId="0" fillId="0" borderId="11" xfId="0" applyNumberFormat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164" fontId="0" fillId="3" borderId="1" xfId="0" applyNumberFormat="1" applyFill="1" applyBorder="1">
      <alignment vertical="center"/>
    </xf>
    <xf numFmtId="0" fontId="11" fillId="0" borderId="20" xfId="0" applyFont="1" applyBorder="1" applyAlignment="1">
      <alignment horizontal="left" vertical="center" indent="4" readingOrder="1"/>
    </xf>
    <xf numFmtId="0" fontId="12" fillId="0" borderId="20" xfId="0" applyFont="1" applyBorder="1">
      <alignment vertical="center"/>
    </xf>
    <xf numFmtId="0" fontId="5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5" fillId="0" borderId="3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20" xfId="0" applyFont="1" applyBorder="1">
      <alignment vertical="center"/>
    </xf>
    <xf numFmtId="0" fontId="33" fillId="0" borderId="3" xfId="0" applyFont="1" applyBorder="1">
      <alignment vertical="center"/>
    </xf>
    <xf numFmtId="0" fontId="33" fillId="0" borderId="11" xfId="0" applyFont="1" applyBorder="1">
      <alignment vertical="center"/>
    </xf>
    <xf numFmtId="0" fontId="18" fillId="0" borderId="0" xfId="0" applyFont="1">
      <alignment vertical="center"/>
    </xf>
    <xf numFmtId="0" fontId="0" fillId="6" borderId="1" xfId="0" applyFill="1" applyBorder="1">
      <alignment vertical="center"/>
    </xf>
    <xf numFmtId="9" fontId="0" fillId="6" borderId="1" xfId="2" applyFont="1" applyFill="1" applyBorder="1" applyAlignment="1">
      <alignment vertical="center"/>
    </xf>
    <xf numFmtId="0" fontId="4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6" borderId="1" xfId="2" applyNumberFormat="1" applyFont="1" applyFill="1" applyBorder="1" applyAlignment="1">
      <alignment vertical="center"/>
    </xf>
    <xf numFmtId="164" fontId="18" fillId="0" borderId="1" xfId="0" applyNumberFormat="1" applyFont="1" applyBorder="1" applyAlignment="1">
      <alignment horizontal="right"/>
    </xf>
    <xf numFmtId="10" fontId="18" fillId="0" borderId="1" xfId="0" applyNumberFormat="1" applyFont="1" applyBorder="1" applyAlignment="1"/>
    <xf numFmtId="0" fontId="2" fillId="0" borderId="1" xfId="0" applyFont="1" applyBorder="1" applyAlignment="1">
      <alignment vertical="center" wrapText="1"/>
    </xf>
    <xf numFmtId="10" fontId="0" fillId="4" borderId="1" xfId="1" applyNumberFormat="1" applyFont="1" applyFill="1" applyBorder="1" applyAlignment="1">
      <alignment vertical="center"/>
    </xf>
    <xf numFmtId="0" fontId="0" fillId="2" borderId="0" xfId="0" applyFill="1">
      <alignment vertical="center"/>
    </xf>
    <xf numFmtId="0" fontId="20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18" fillId="0" borderId="1" xfId="0" applyFont="1" applyBorder="1" applyAlignment="1">
      <alignment horizontal="left"/>
    </xf>
    <xf numFmtId="0" fontId="15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0" fillId="0" borderId="0" xfId="0">
      <alignment vertical="center"/>
    </xf>
    <xf numFmtId="0" fontId="5" fillId="5" borderId="0" xfId="0" applyFont="1" applyFill="1">
      <alignment vertical="center"/>
    </xf>
    <xf numFmtId="0" fontId="5" fillId="0" borderId="0" xfId="0" applyFont="1">
      <alignment vertical="center"/>
    </xf>
    <xf numFmtId="0" fontId="15" fillId="2" borderId="0" xfId="0" applyFont="1" applyFill="1">
      <alignment vertical="center"/>
    </xf>
    <xf numFmtId="10" fontId="0" fillId="6" borderId="1" xfId="0" applyNumberFormat="1" applyFill="1" applyBorder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7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sz val="16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8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8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indent="4" readingOrder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numFmt numFmtId="16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_(* #,##0.00_);_(* \(#,##0.00\);_(* &quot;-&quot;??_);_(@_)"/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" table="0" count="10" xr9:uid="{00000000-0011-0000-FFFF-FFFF01000000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D3:G18" totalsRowShown="0" headerRowDxfId="59">
  <autoFilter ref="D3:G18" xr:uid="{00000000-0009-0000-0100-000003000000}"/>
  <sortState xmlns:xlrd2="http://schemas.microsoft.com/office/spreadsheetml/2017/richdata2" ref="D4:G18">
    <sortCondition descending="1" ref="G2:G16"/>
  </sortState>
  <tableColumns count="4">
    <tableColumn id="1" xr3:uid="{00000000-0010-0000-0000-000001000000}" name="Operator" dataDxfId="58"/>
    <tableColumn id="2" xr3:uid="{00000000-0010-0000-0000-000002000000}" name="Description" dataDxfId="57"/>
    <tableColumn id="3" xr3:uid="{00000000-0010-0000-0000-000003000000}" name="Example" dataDxfId="56"/>
    <tableColumn id="4" xr3:uid="{00000000-0010-0000-0000-000004000000}" name="Precedence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I15" totalsRowCount="1" headerRowDxfId="54" dataDxfId="53">
  <autoFilter ref="A3:I14" xr:uid="{00000000-0009-0000-0100-000002000000}"/>
  <tableColumns count="9">
    <tableColumn id="1" xr3:uid="{00000000-0010-0000-0100-000001000000}" name=" NO" dataDxfId="52" totalsRowDxfId="51"/>
    <tableColumn id="2" xr3:uid="{00000000-0010-0000-0100-000002000000}" name="EMPLOYEES'S NAME" dataDxfId="50" totalsRowDxfId="49"/>
    <tableColumn id="3" xr3:uid="{00000000-0010-0000-0100-000003000000}" name="EMPLOYEE'S ID NO" dataDxfId="48" totalsRowDxfId="47"/>
    <tableColumn id="4" xr3:uid="{00000000-0010-0000-0100-000004000000}" name="EMPLOYEE'S BASIC SALARY" dataDxfId="46" totalsRowDxfId="45"/>
    <tableColumn id="5" xr3:uid="{00000000-0010-0000-0100-000005000000}" name="FOOD ALLOWANCE" dataDxfId="44" totalsRowDxfId="43"/>
    <tableColumn id="6" xr3:uid="{00000000-0010-0000-0100-000006000000}" name="OVERTIME" dataDxfId="42" totalsRowDxfId="41"/>
    <tableColumn id="7" xr3:uid="{00000000-0010-0000-0100-000007000000}" name="GROSS SALARY" dataDxfId="40" totalsRowDxfId="39">
      <calculatedColumnFormula>Table2[[#This Row],[EMPLOYEE''S BASIC SALARY]]+Table2[[#This Row],[FOOD ALLOWANCE]]+Table2[[#This Row],[OVERTIME]]</calculatedColumnFormula>
    </tableColumn>
    <tableColumn id="8" xr3:uid="{00000000-0010-0000-0100-000008000000}" name="ADVANCE " dataDxfId="38" totalsRowDxfId="37"/>
    <tableColumn id="9" xr3:uid="{00000000-0010-0000-0100-000009000000}" name="NET SALARY" dataDxfId="36" totalsRowDxfId="35">
      <calculatedColumnFormula>Table2[[#This Row],[GROSS SALARY]]-Table2[[#This Row],[ADVANCE 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5" displayName="Table5" ref="A3:M15" totalsRowCount="1" headerRowDxfId="34" dataDxfId="33">
  <autoFilter ref="A3:M14" xr:uid="{00000000-0009-0000-0100-000001000000}"/>
  <tableColumns count="13">
    <tableColumn id="1" xr3:uid="{00000000-0010-0000-0200-000001000000}" name=" NO" dataDxfId="32" totalsRowDxfId="31"/>
    <tableColumn id="2" xr3:uid="{00000000-0010-0000-0200-000002000000}" name="EMPLOYEES'S NAME" dataDxfId="30" totalsRowDxfId="29"/>
    <tableColumn id="3" xr3:uid="{00000000-0010-0000-0200-000003000000}" name="EMPLOYEE'S ID NO" dataDxfId="28" totalsRowDxfId="27"/>
    <tableColumn id="4" xr3:uid="{00000000-0010-0000-0200-000004000000}" name="EMPLOYEE'S BASIC SALARY" dataDxfId="26" totalsRowDxfId="25"/>
    <tableColumn id="5" xr3:uid="{00000000-0010-0000-0200-000005000000}" name="INCREMENT (10%)" dataDxfId="24" totalsRowDxfId="23"/>
    <tableColumn id="6" xr3:uid="{00000000-0010-0000-0200-000006000000}" name="INCREAMENT" dataDxfId="22" totalsRowDxfId="21">
      <calculatedColumnFormula>Table5[[#This Row],[EMPLOYEE''S BASIC SALARY]]*Table5[[#This Row],[INCREMENT (10%)]]</calculatedColumnFormula>
    </tableColumn>
    <tableColumn id="7" xr3:uid="{00000000-0010-0000-0200-000007000000}" name="FOOD ALLOWANCE" dataDxfId="20" totalsRowDxfId="19"/>
    <tableColumn id="8" xr3:uid="{00000000-0010-0000-0200-000008000000}" name="OVERTIME  ALLOWANCE" dataDxfId="18" totalsRowDxfId="17"/>
    <tableColumn id="9" xr3:uid="{00000000-0010-0000-0200-000009000000}" name="GROSS SALARY" dataDxfId="16" totalsRowDxfId="15">
      <calculatedColumnFormula>Table5[[#This Row],[EMPLOYEE''S BASIC SALARY]]+Table5[[#This Row],[INCREAMENT]]+Table5[[#This Row],[OVERTIME  ALLOWANCE]]+Table5[[#This Row],[FOOD ALLOWANCE]]</calculatedColumnFormula>
    </tableColumn>
    <tableColumn id="10" xr3:uid="{00000000-0010-0000-0200-00000A000000}" name="ADVANCE " dataDxfId="14" totalsRowDxfId="13"/>
    <tableColumn id="11" xr3:uid="{00000000-0010-0000-0200-00000B000000}" name="NET SALARY" dataDxfId="12" totalsRowDxfId="11">
      <calculatedColumnFormula>Table5[[#This Row],[GROSS SALARY]]-Table5[[#This Row],[OVERTIME  ALLOWANCE]]</calculatedColumnFormula>
    </tableColumn>
    <tableColumn id="12" xr3:uid="{00000000-0010-0000-0200-00000C000000}" name="PER DAY GROSS SALARY" dataDxfId="10" totalsRowDxfId="9">
      <calculatedColumnFormula>Table5[[#This Row],[GROSS SALARY]]/30</calculatedColumnFormula>
    </tableColumn>
    <tableColumn id="13" xr3:uid="{00000000-0010-0000-0200-00000D000000}" name="incremented salary" dataDxfId="8" totalsRowDxfId="7">
      <calculatedColumnFormula>Table5[[#This Row],[EMPLOYEE''S BASIC SALARY]]*1.1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6" displayName="Table6" ref="B2:F11" totalsRowShown="0" headerRowDxfId="6" dataDxfId="5">
  <autoFilter ref="B2:F11" xr:uid="{00000000-0009-0000-0100-000005000000}"/>
  <tableColumns count="5">
    <tableColumn id="1" xr3:uid="{00000000-0010-0000-0300-000001000000}" name="MATHEMATICAL FUNCTION" dataDxfId="4"/>
    <tableColumn id="2" xr3:uid="{00000000-0010-0000-0300-000002000000}" name="TEXT FUNCTIONS" dataDxfId="3"/>
    <tableColumn id="3" xr3:uid="{00000000-0010-0000-0300-000003000000}" name="DATE &amp; TIME FUNCION" dataDxfId="2"/>
    <tableColumn id="4" xr3:uid="{00000000-0010-0000-0300-000004000000}" name="LOGICAL FUNCTIONS" dataDxfId="1"/>
    <tableColumn id="5" xr3:uid="{00000000-0010-0000-0300-000005000000}" name="DATA VALIDATION &amp; FILTER FUNCTION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A855D78-F606-4A90-8F6B-3BBC1E5B8149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t_sr07-XS0ymCQP4DdFh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66C34D2-CA92-4EB3-B437-5C8FD0602663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120" zoomScaleNormal="120" workbookViewId="0">
      <selection activeCell="A24" sqref="A24"/>
    </sheetView>
  </sheetViews>
  <sheetFormatPr defaultColWidth="9.109375" defaultRowHeight="14.4"/>
  <cols>
    <col min="1" max="6" width="9.109375" style="1"/>
    <col min="7" max="7" width="13.109375" style="1" customWidth="1"/>
    <col min="8" max="16384" width="9.109375" style="1"/>
  </cols>
  <sheetData>
    <row r="1" spans="1:11" s="92" customFormat="1" ht="25.8">
      <c r="A1" s="92" t="s">
        <v>0</v>
      </c>
    </row>
    <row r="2" spans="1:11" ht="15" thickBot="1"/>
    <row r="3" spans="1:11" ht="25.8">
      <c r="F3" s="2"/>
      <c r="G3" s="3" t="s">
        <v>1</v>
      </c>
      <c r="H3" s="4"/>
      <c r="I3" s="4"/>
      <c r="J3" s="4"/>
      <c r="K3" s="5"/>
    </row>
    <row r="4" spans="1:11">
      <c r="F4" s="6"/>
      <c r="K4" s="7"/>
    </row>
    <row r="5" spans="1:11" ht="18">
      <c r="F5" s="8"/>
      <c r="G5" s="9" t="s">
        <v>2</v>
      </c>
      <c r="H5" s="9"/>
      <c r="I5" s="9"/>
      <c r="J5" s="9"/>
      <c r="K5" s="7"/>
    </row>
    <row r="6" spans="1:11" ht="18">
      <c r="F6" s="8"/>
      <c r="G6" s="9"/>
      <c r="H6" s="9"/>
      <c r="I6" s="9"/>
      <c r="J6" s="9"/>
      <c r="K6" s="7"/>
    </row>
    <row r="7" spans="1:11" ht="18">
      <c r="F7" s="8"/>
      <c r="G7" s="9" t="s">
        <v>3</v>
      </c>
      <c r="H7" s="9"/>
      <c r="I7" s="9"/>
      <c r="J7" s="9"/>
      <c r="K7" s="7"/>
    </row>
    <row r="8" spans="1:11">
      <c r="F8" s="6"/>
      <c r="K8" s="7"/>
    </row>
    <row r="9" spans="1:11" ht="15" thickBot="1">
      <c r="F9" s="10"/>
      <c r="G9" s="11"/>
      <c r="H9" s="11"/>
      <c r="I9" s="11"/>
      <c r="J9" s="11"/>
      <c r="K9" s="12"/>
    </row>
  </sheetData>
  <mergeCells count="1">
    <mergeCell ref="A1:XF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K4" sqref="K4"/>
    </sheetView>
  </sheetViews>
  <sheetFormatPr defaultRowHeight="14.4"/>
  <cols>
    <col min="4" max="4" width="13.5546875" bestFit="1" customWidth="1"/>
    <col min="5" max="5" width="15.6640625" bestFit="1" customWidth="1"/>
    <col min="6" max="6" width="13.109375" bestFit="1" customWidth="1"/>
    <col min="7" max="7" width="16" bestFit="1" customWidth="1"/>
    <col min="12" max="12" width="9.88671875" bestFit="1" customWidth="1"/>
  </cols>
  <sheetData>
    <row r="1" spans="1:14" s="94" customFormat="1" ht="23.4">
      <c r="A1" s="93" t="s">
        <v>4</v>
      </c>
    </row>
    <row r="3" spans="1:14" ht="21" customHeight="1">
      <c r="D3" s="52" t="s">
        <v>97</v>
      </c>
      <c r="E3" s="52" t="s">
        <v>98</v>
      </c>
      <c r="F3" s="52" t="s">
        <v>99</v>
      </c>
      <c r="G3" s="53" t="s">
        <v>100</v>
      </c>
    </row>
    <row r="4" spans="1:14" ht="43.2">
      <c r="D4" s="54" t="s">
        <v>101</v>
      </c>
      <c r="E4" s="55" t="s">
        <v>102</v>
      </c>
      <c r="F4" s="54" t="s">
        <v>103</v>
      </c>
      <c r="G4" s="56">
        <v>8</v>
      </c>
      <c r="J4" s="58"/>
      <c r="M4" s="58"/>
    </row>
    <row r="5" spans="1:14" ht="43.2">
      <c r="D5" s="54" t="s">
        <v>104</v>
      </c>
      <c r="E5" s="55" t="s">
        <v>105</v>
      </c>
      <c r="F5" s="57"/>
      <c r="G5" s="56">
        <v>7</v>
      </c>
      <c r="J5" s="58"/>
      <c r="K5" s="58">
        <f>SUM(G4:G6)</f>
        <v>21</v>
      </c>
      <c r="L5" s="58">
        <f>SUM(G4,Table24[[#This Row],[Precedence]])</f>
        <v>15</v>
      </c>
    </row>
    <row r="6" spans="1:14" ht="43.2">
      <c r="D6" s="54" t="s">
        <v>106</v>
      </c>
      <c r="E6" s="55" t="s">
        <v>107</v>
      </c>
      <c r="F6" s="57">
        <f>SUM(G4:G6)</f>
        <v>21</v>
      </c>
      <c r="G6" s="56">
        <v>6</v>
      </c>
      <c r="I6" s="58"/>
      <c r="J6" s="58"/>
      <c r="L6" s="58">
        <f>SUM(G4:G11)</f>
        <v>46</v>
      </c>
    </row>
    <row r="7" spans="1:14" ht="15">
      <c r="D7" s="54" t="s">
        <v>108</v>
      </c>
      <c r="E7" s="55" t="s">
        <v>109</v>
      </c>
      <c r="F7" s="54" t="b">
        <f>G5=G6</f>
        <v>0</v>
      </c>
      <c r="G7" s="56">
        <v>5</v>
      </c>
      <c r="K7">
        <v>23</v>
      </c>
      <c r="L7">
        <v>24</v>
      </c>
      <c r="M7" t="b">
        <f>K7=L7</f>
        <v>0</v>
      </c>
    </row>
    <row r="8" spans="1:14" ht="15">
      <c r="D8" s="54" t="s">
        <v>110</v>
      </c>
      <c r="E8" s="55" t="s">
        <v>111</v>
      </c>
      <c r="F8" s="54" t="b">
        <f>G7&lt;&gt;G6</f>
        <v>1</v>
      </c>
      <c r="G8" s="56">
        <v>5</v>
      </c>
      <c r="M8" t="b">
        <f>K7&lt;&gt;L7</f>
        <v>1</v>
      </c>
      <c r="N8" t="b">
        <f>K7&lt;&gt;NN10</f>
        <v>1</v>
      </c>
    </row>
    <row r="9" spans="1:14" ht="15">
      <c r="D9" s="54" t="s">
        <v>112</v>
      </c>
      <c r="E9" s="55" t="s">
        <v>113</v>
      </c>
      <c r="F9" s="54" t="b">
        <f>G7&gt;G8</f>
        <v>0</v>
      </c>
      <c r="G9" s="56">
        <v>5</v>
      </c>
      <c r="L9" t="b">
        <f>K7&gt;L7</f>
        <v>0</v>
      </c>
    </row>
    <row r="10" spans="1:14" ht="15">
      <c r="D10" s="54" t="s">
        <v>114</v>
      </c>
      <c r="E10" s="55" t="s">
        <v>115</v>
      </c>
      <c r="F10" s="54" t="b">
        <f>G11&lt;F9</f>
        <v>1</v>
      </c>
      <c r="G10" s="56">
        <v>5</v>
      </c>
    </row>
    <row r="11" spans="1:14" ht="28.8">
      <c r="D11" s="54" t="s">
        <v>116</v>
      </c>
      <c r="E11" s="55" t="s">
        <v>117</v>
      </c>
      <c r="F11" s="54" t="b">
        <f>G13&gt;=G12</f>
        <v>0</v>
      </c>
      <c r="G11" s="56">
        <v>5</v>
      </c>
    </row>
    <row r="12" spans="1:14" ht="28.8">
      <c r="D12" s="54" t="s">
        <v>118</v>
      </c>
      <c r="E12" s="55" t="s">
        <v>119</v>
      </c>
      <c r="F12" s="54" t="b">
        <f>G14&lt;=G13</f>
        <v>1</v>
      </c>
      <c r="G12" s="56">
        <v>5</v>
      </c>
      <c r="J12" s="62"/>
      <c r="K12" s="63"/>
      <c r="L12" s="60" t="b">
        <f>K7&lt;=L7</f>
        <v>1</v>
      </c>
      <c r="M12" s="63"/>
    </row>
    <row r="13" spans="1:14" ht="28.8">
      <c r="D13" s="54" t="s">
        <v>120</v>
      </c>
      <c r="E13" s="55" t="s">
        <v>121</v>
      </c>
      <c r="F13" s="54" t="str">
        <f>"Hello"&amp;"World"</f>
        <v>HelloWorld</v>
      </c>
      <c r="G13" s="56">
        <v>4</v>
      </c>
      <c r="K13" s="67" t="s">
        <v>141</v>
      </c>
      <c r="L13" s="67" t="s">
        <v>142</v>
      </c>
      <c r="M13" t="str">
        <f>K13&amp;" "&amp;L13</f>
        <v>Raju Rammu</v>
      </c>
    </row>
    <row r="14" spans="1:14" ht="29.4">
      <c r="D14" s="54" t="s">
        <v>122</v>
      </c>
      <c r="E14" s="55" t="s">
        <v>123</v>
      </c>
      <c r="F14" s="54" t="s">
        <v>124</v>
      </c>
      <c r="G14" s="56">
        <v>3</v>
      </c>
    </row>
    <row r="15" spans="1:14" ht="29.4">
      <c r="D15" s="54" t="s">
        <v>125</v>
      </c>
      <c r="E15" s="55" t="s">
        <v>126</v>
      </c>
      <c r="F15" s="54" t="s">
        <v>127</v>
      </c>
      <c r="G15" s="56">
        <v>3</v>
      </c>
      <c r="K15" t="str">
        <f>K13&amp;" "&amp;L13</f>
        <v>Raju Rammu</v>
      </c>
    </row>
    <row r="16" spans="1:14" ht="29.4">
      <c r="D16" s="54" t="s">
        <v>128</v>
      </c>
      <c r="E16" s="55" t="s">
        <v>129</v>
      </c>
      <c r="F16" s="54" t="s">
        <v>130</v>
      </c>
      <c r="G16" s="56">
        <v>2</v>
      </c>
    </row>
    <row r="17" spans="4:7" ht="29.4">
      <c r="D17" s="54" t="s">
        <v>131</v>
      </c>
      <c r="E17" s="55" t="s">
        <v>132</v>
      </c>
      <c r="F17" s="54" t="s">
        <v>133</v>
      </c>
      <c r="G17" s="56">
        <v>2</v>
      </c>
    </row>
    <row r="18" spans="4:7" ht="29.4">
      <c r="D18" s="54" t="s">
        <v>134</v>
      </c>
      <c r="E18" s="55" t="s">
        <v>135</v>
      </c>
      <c r="F18" s="54" t="s">
        <v>136</v>
      </c>
      <c r="G18" s="56">
        <v>1</v>
      </c>
    </row>
  </sheetData>
  <mergeCells count="1">
    <mergeCell ref="A1:XF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opLeftCell="A10" zoomScale="120" zoomScaleNormal="120" workbookViewId="0">
      <selection activeCell="H19" sqref="H19:I19"/>
    </sheetView>
  </sheetViews>
  <sheetFormatPr defaultRowHeight="14.4"/>
  <cols>
    <col min="2" max="2" width="22.44140625" customWidth="1"/>
    <col min="3" max="3" width="37.44140625" bestFit="1" customWidth="1"/>
    <col min="4" max="4" width="8.5546875" customWidth="1"/>
    <col min="9" max="9" width="11.88671875" bestFit="1" customWidth="1"/>
    <col min="10" max="10" width="9" bestFit="1" customWidth="1"/>
  </cols>
  <sheetData>
    <row r="1" spans="1:11" s="94" customFormat="1" ht="23.4">
      <c r="A1" s="93" t="s">
        <v>254</v>
      </c>
    </row>
    <row r="3" spans="1:11" ht="39" customHeight="1">
      <c r="B3" s="70" t="s">
        <v>185</v>
      </c>
      <c r="C3" s="70" t="s">
        <v>98</v>
      </c>
      <c r="E3" s="84" t="s">
        <v>148</v>
      </c>
      <c r="F3" s="84" t="s">
        <v>149</v>
      </c>
      <c r="G3" s="85"/>
      <c r="H3" s="85"/>
      <c r="I3" s="84" t="s">
        <v>251</v>
      </c>
      <c r="J3" s="84" t="s">
        <v>252</v>
      </c>
      <c r="K3" s="84" t="s">
        <v>253</v>
      </c>
    </row>
    <row r="4" spans="1:11" ht="24" customHeight="1">
      <c r="B4" s="71" t="s">
        <v>195</v>
      </c>
      <c r="C4" s="71" t="s">
        <v>186</v>
      </c>
      <c r="E4" s="82">
        <v>10</v>
      </c>
      <c r="F4" s="82">
        <v>20</v>
      </c>
      <c r="G4" s="82"/>
      <c r="H4" s="82"/>
      <c r="I4" s="82">
        <f>E4+F4</f>
        <v>30</v>
      </c>
      <c r="J4" s="82">
        <f>E4+F4</f>
        <v>30</v>
      </c>
      <c r="K4" s="82"/>
    </row>
    <row r="5" spans="1:11" ht="24" customHeight="1">
      <c r="B5" s="71" t="s">
        <v>196</v>
      </c>
      <c r="C5" s="71" t="s">
        <v>187</v>
      </c>
      <c r="E5" s="82">
        <v>20</v>
      </c>
      <c r="F5" s="82">
        <v>10</v>
      </c>
      <c r="G5" s="82"/>
      <c r="H5" s="82"/>
      <c r="I5" s="82">
        <f>E5-F5</f>
        <v>10</v>
      </c>
      <c r="J5" s="82">
        <f>F5-E5</f>
        <v>-10</v>
      </c>
      <c r="K5" s="82"/>
    </row>
    <row r="6" spans="1:11" ht="24" customHeight="1">
      <c r="B6" s="71" t="s">
        <v>197</v>
      </c>
      <c r="C6" s="71" t="s">
        <v>188</v>
      </c>
      <c r="E6" s="82">
        <v>10</v>
      </c>
      <c r="F6" s="82">
        <v>2</v>
      </c>
      <c r="G6" s="82"/>
      <c r="H6" s="82"/>
      <c r="I6" s="82">
        <f>E6*F6</f>
        <v>20</v>
      </c>
      <c r="J6" s="82">
        <f>E6*F6</f>
        <v>20</v>
      </c>
      <c r="K6" s="82"/>
    </row>
    <row r="7" spans="1:11" ht="24" customHeight="1">
      <c r="B7" s="71" t="s">
        <v>198</v>
      </c>
      <c r="C7" s="71" t="s">
        <v>189</v>
      </c>
      <c r="E7" s="82">
        <v>40</v>
      </c>
      <c r="F7" s="82">
        <v>2</v>
      </c>
      <c r="G7" s="82"/>
      <c r="H7" s="82"/>
      <c r="I7" s="82">
        <f>E7/F7</f>
        <v>20</v>
      </c>
      <c r="J7" s="82">
        <f>E7/F7</f>
        <v>20</v>
      </c>
      <c r="K7" s="82"/>
    </row>
    <row r="8" spans="1:11" ht="24" customHeight="1">
      <c r="B8" s="71" t="s">
        <v>250</v>
      </c>
      <c r="C8" s="71" t="s">
        <v>190</v>
      </c>
      <c r="E8" s="82">
        <v>10</v>
      </c>
      <c r="F8" s="82">
        <v>10</v>
      </c>
      <c r="G8" s="82">
        <v>5</v>
      </c>
      <c r="H8" s="82"/>
      <c r="I8" s="82">
        <f>(E8+F8)-G8</f>
        <v>15</v>
      </c>
      <c r="J8" s="82">
        <f>(E8+F8)-G8</f>
        <v>15</v>
      </c>
      <c r="K8" s="82"/>
    </row>
    <row r="9" spans="1:11" ht="24" customHeight="1">
      <c r="B9" s="71" t="s">
        <v>199</v>
      </c>
      <c r="C9" s="71" t="s">
        <v>191</v>
      </c>
      <c r="E9" s="82">
        <v>10</v>
      </c>
      <c r="F9" s="82">
        <v>10</v>
      </c>
      <c r="G9" s="82">
        <v>5</v>
      </c>
      <c r="H9" s="82"/>
      <c r="I9" s="82">
        <f>(E9+F9)*G9</f>
        <v>100</v>
      </c>
      <c r="J9" s="82">
        <f>(E9+F9)*G9</f>
        <v>100</v>
      </c>
      <c r="K9" s="82"/>
    </row>
    <row r="10" spans="1:11" ht="24" customHeight="1">
      <c r="B10" s="71" t="s">
        <v>200</v>
      </c>
      <c r="C10" s="71" t="s">
        <v>192</v>
      </c>
      <c r="E10" s="82">
        <v>200</v>
      </c>
      <c r="F10" s="83"/>
      <c r="G10" s="82"/>
      <c r="H10" s="82"/>
      <c r="I10" s="82">
        <f>E10*10%</f>
        <v>20</v>
      </c>
      <c r="J10" s="82">
        <f>E10*10%</f>
        <v>20</v>
      </c>
      <c r="K10" s="82"/>
    </row>
    <row r="11" spans="1:11" ht="24" customHeight="1">
      <c r="B11" s="71" t="s">
        <v>201</v>
      </c>
      <c r="C11" s="71" t="s">
        <v>193</v>
      </c>
      <c r="E11" s="82">
        <v>200</v>
      </c>
      <c r="F11" s="82"/>
      <c r="G11" s="82"/>
      <c r="H11" s="82"/>
      <c r="I11" s="82">
        <f>E11*1.18</f>
        <v>236</v>
      </c>
      <c r="J11" s="82">
        <f>E11*1.18</f>
        <v>236</v>
      </c>
      <c r="K11" s="82">
        <f>E11*(1+18%)</f>
        <v>236</v>
      </c>
    </row>
    <row r="12" spans="1:11" ht="24" customHeight="1">
      <c r="B12" s="86" t="s">
        <v>255</v>
      </c>
      <c r="C12" s="71" t="s">
        <v>194</v>
      </c>
      <c r="E12" s="82">
        <v>400</v>
      </c>
      <c r="F12" s="82">
        <v>500</v>
      </c>
      <c r="G12" s="82"/>
      <c r="H12" s="82"/>
      <c r="I12" s="83">
        <f>(F12-E12)/E12</f>
        <v>0.25</v>
      </c>
      <c r="J12" s="87">
        <f>(F12-E12)/E12*100</f>
        <v>25</v>
      </c>
      <c r="K12" s="82"/>
    </row>
    <row r="13" spans="1:11" ht="24" customHeight="1">
      <c r="B13" s="71" t="s">
        <v>202</v>
      </c>
      <c r="C13" s="71" t="s">
        <v>203</v>
      </c>
      <c r="E13" s="82">
        <v>26</v>
      </c>
      <c r="F13" s="82">
        <v>44</v>
      </c>
      <c r="G13" s="82"/>
      <c r="H13" s="82"/>
      <c r="I13" s="82">
        <f>(F13+E13)/2</f>
        <v>35</v>
      </c>
      <c r="J13" s="82"/>
      <c r="K13" s="82"/>
    </row>
    <row r="14" spans="1:11" ht="24" customHeight="1">
      <c r="B14" s="71" t="s">
        <v>204</v>
      </c>
      <c r="C14" s="71" t="s">
        <v>205</v>
      </c>
      <c r="E14" s="82">
        <v>13</v>
      </c>
      <c r="F14" s="82"/>
      <c r="G14" s="82"/>
      <c r="H14" s="82"/>
      <c r="I14" s="82">
        <f>E14*(1-10%)</f>
        <v>11.700000000000001</v>
      </c>
      <c r="J14" s="82"/>
      <c r="K14" s="82"/>
    </row>
    <row r="15" spans="1:11" ht="24" customHeight="1">
      <c r="B15" s="71" t="s">
        <v>206</v>
      </c>
      <c r="C15" s="71" t="s">
        <v>207</v>
      </c>
      <c r="E15" s="82">
        <v>23</v>
      </c>
      <c r="F15" s="82">
        <v>88</v>
      </c>
      <c r="G15" s="83"/>
      <c r="H15" s="82"/>
      <c r="I15" s="103">
        <f>(F15-E15)/E15</f>
        <v>2.8260869565217392</v>
      </c>
      <c r="J15" s="82"/>
      <c r="K15" s="82"/>
    </row>
    <row r="16" spans="1:11" ht="24" customHeight="1">
      <c r="B16" s="71" t="s">
        <v>208</v>
      </c>
      <c r="C16" s="71" t="s">
        <v>209</v>
      </c>
      <c r="E16" s="82">
        <v>1000</v>
      </c>
      <c r="F16" s="82"/>
      <c r="G16" s="82"/>
      <c r="H16" s="82"/>
      <c r="I16" s="82">
        <f>E16*12</f>
        <v>12000</v>
      </c>
      <c r="J16" s="82"/>
      <c r="K16" s="82"/>
    </row>
    <row r="17" spans="2:11" ht="24" customHeight="1">
      <c r="B17" s="71" t="s">
        <v>210</v>
      </c>
      <c r="C17" s="71" t="s">
        <v>211</v>
      </c>
      <c r="E17" s="82">
        <v>30000</v>
      </c>
      <c r="F17" s="82"/>
      <c r="G17" s="82"/>
      <c r="H17" s="82"/>
      <c r="I17" s="82">
        <f>E17/12</f>
        <v>2500</v>
      </c>
      <c r="J17" s="82"/>
      <c r="K17" s="82"/>
    </row>
    <row r="18" spans="2:11" ht="24" customHeight="1">
      <c r="B18" s="71" t="s">
        <v>212</v>
      </c>
      <c r="C18" s="71" t="s">
        <v>213</v>
      </c>
      <c r="E18" s="82">
        <v>500</v>
      </c>
      <c r="F18" s="82"/>
      <c r="G18" s="82"/>
      <c r="H18" s="82"/>
      <c r="I18" s="82">
        <f>E18*0.5</f>
        <v>250</v>
      </c>
      <c r="J18" s="82"/>
      <c r="K18" s="82"/>
    </row>
    <row r="19" spans="2:11" ht="24" customHeight="1">
      <c r="B19" s="71" t="s">
        <v>214</v>
      </c>
      <c r="C19" s="71" t="s">
        <v>215</v>
      </c>
      <c r="E19" s="82">
        <v>28</v>
      </c>
      <c r="F19" s="82">
        <v>38</v>
      </c>
      <c r="G19" s="82">
        <v>48</v>
      </c>
      <c r="H19" s="82"/>
      <c r="I19" s="82">
        <f>(E19+F19+G19)/3</f>
        <v>38</v>
      </c>
      <c r="J19" s="82"/>
      <c r="K19" s="82"/>
    </row>
  </sheetData>
  <mergeCells count="1">
    <mergeCell ref="A1:XFD1"/>
  </mergeCells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topLeftCell="A2" zoomScale="120" zoomScaleNormal="120" workbookViewId="0">
      <selection activeCell="H15" sqref="H15"/>
    </sheetView>
  </sheetViews>
  <sheetFormatPr defaultColWidth="9.109375" defaultRowHeight="14.4"/>
  <cols>
    <col min="1" max="2" width="9.109375" style="31"/>
    <col min="3" max="3" width="10.109375" style="31" bestFit="1" customWidth="1"/>
    <col min="4" max="4" width="10.109375" style="31" customWidth="1"/>
    <col min="5" max="5" width="10.109375" style="31" bestFit="1" customWidth="1"/>
    <col min="6" max="6" width="13.33203125" style="31" customWidth="1"/>
    <col min="7" max="7" width="11.88671875" style="31" customWidth="1"/>
    <col min="8" max="8" width="13.33203125" style="31" customWidth="1"/>
    <col min="9" max="9" width="22.5546875" style="31" customWidth="1"/>
    <col min="10" max="10" width="9.109375" style="31"/>
    <col min="11" max="11" width="28" style="31" customWidth="1"/>
    <col min="12" max="16384" width="9.109375" style="31"/>
  </cols>
  <sheetData>
    <row r="1" spans="1:15" s="98" customFormat="1" ht="21" customHeight="1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s="99" customFormat="1" ht="12" customHeight="1"/>
    <row r="3" spans="1:15" ht="63.75" customHeight="1">
      <c r="A3" s="26" t="s">
        <v>6</v>
      </c>
      <c r="B3" s="27" t="s">
        <v>7</v>
      </c>
      <c r="C3" s="28" t="s">
        <v>8</v>
      </c>
      <c r="D3" s="29" t="s">
        <v>9</v>
      </c>
      <c r="E3" s="29" t="s">
        <v>10</v>
      </c>
      <c r="F3" s="29" t="s">
        <v>11</v>
      </c>
      <c r="G3" s="29" t="s">
        <v>12</v>
      </c>
      <c r="H3" s="30" t="s">
        <v>13</v>
      </c>
      <c r="I3" s="30" t="s">
        <v>14</v>
      </c>
      <c r="K3" s="79"/>
      <c r="L3" s="79"/>
      <c r="M3" s="80"/>
    </row>
    <row r="4" spans="1:15">
      <c r="A4" s="32">
        <v>1</v>
      </c>
      <c r="B4" s="32" t="s">
        <v>15</v>
      </c>
      <c r="C4" s="33" t="s">
        <v>16</v>
      </c>
      <c r="D4" s="34">
        <v>40000</v>
      </c>
      <c r="E4" s="34">
        <v>2000</v>
      </c>
      <c r="F4" s="34">
        <v>3100</v>
      </c>
      <c r="G4" s="24">
        <f>Table2[[#This Row],[EMPLOYEE''S BASIC SALARY]]+Table2[[#This Row],[FOOD ALLOWANCE]]+Table2[[#This Row],[OVERTIME]]</f>
        <v>45100</v>
      </c>
      <c r="H4" s="34">
        <v>2000</v>
      </c>
      <c r="I4" s="24">
        <f>Table2[[#This Row],[GROSS SALARY]]-Table2[[#This Row],[ADVANCE ]]</f>
        <v>43100</v>
      </c>
      <c r="K4" s="76"/>
      <c r="L4" s="76"/>
      <c r="M4" s="77"/>
    </row>
    <row r="5" spans="1:15">
      <c r="A5" s="32">
        <v>2</v>
      </c>
      <c r="B5" s="32" t="s">
        <v>17</v>
      </c>
      <c r="C5" s="33" t="s">
        <v>18</v>
      </c>
      <c r="D5" s="34">
        <v>42000</v>
      </c>
      <c r="E5" s="34">
        <v>2200</v>
      </c>
      <c r="F5" s="34">
        <v>3150</v>
      </c>
      <c r="G5" s="24">
        <f>Table2[[#This Row],[EMPLOYEE''S BASIC SALARY]]+Table2[[#This Row],[FOOD ALLOWANCE]]+Table2[[#This Row],[OVERTIME]]</f>
        <v>47350</v>
      </c>
      <c r="H5" s="34">
        <v>1000</v>
      </c>
      <c r="I5" s="24">
        <f>Table2[[#This Row],[GROSS SALARY]]-Table2[[#This Row],[ADVANCE ]]</f>
        <v>46350</v>
      </c>
      <c r="K5" s="76"/>
      <c r="L5" s="76"/>
      <c r="M5" s="77"/>
    </row>
    <row r="6" spans="1:15">
      <c r="A6" s="32">
        <v>3</v>
      </c>
      <c r="B6" s="32" t="s">
        <v>19</v>
      </c>
      <c r="C6" s="33" t="s">
        <v>20</v>
      </c>
      <c r="D6" s="34">
        <v>60000</v>
      </c>
      <c r="E6" s="34">
        <v>2400</v>
      </c>
      <c r="F6" s="34">
        <v>3200</v>
      </c>
      <c r="G6" s="24">
        <f>Table2[[#This Row],[EMPLOYEE''S BASIC SALARY]]+Table2[[#This Row],[FOOD ALLOWANCE]]+Table2[[#This Row],[OVERTIME]]</f>
        <v>65600</v>
      </c>
      <c r="H6" s="34">
        <v>2500</v>
      </c>
      <c r="I6" s="24">
        <f>Table2[[#This Row],[GROSS SALARY]]-Table2[[#This Row],[ADVANCE ]]</f>
        <v>63100</v>
      </c>
      <c r="K6" s="78"/>
      <c r="L6" s="78"/>
      <c r="M6" s="72"/>
    </row>
    <row r="7" spans="1:15">
      <c r="A7" s="32">
        <v>4</v>
      </c>
      <c r="B7" s="32" t="s">
        <v>21</v>
      </c>
      <c r="C7" s="33" t="s">
        <v>22</v>
      </c>
      <c r="D7" s="34">
        <v>46000</v>
      </c>
      <c r="E7" s="34">
        <v>3000</v>
      </c>
      <c r="F7" s="34">
        <v>3400</v>
      </c>
      <c r="G7" s="24">
        <f>Table2[[#This Row],[EMPLOYEE''S BASIC SALARY]]+Table2[[#This Row],[FOOD ALLOWANCE]]+Table2[[#This Row],[OVERTIME]]</f>
        <v>52400</v>
      </c>
      <c r="H7" s="34">
        <v>3000</v>
      </c>
      <c r="I7" s="24">
        <f>Table2[[#This Row],[GROSS SALARY]]-Table2[[#This Row],[ADVANCE ]]</f>
        <v>49400</v>
      </c>
    </row>
    <row r="8" spans="1:15">
      <c r="A8" s="32">
        <v>5</v>
      </c>
      <c r="B8" s="32" t="s">
        <v>23</v>
      </c>
      <c r="C8" s="33" t="s">
        <v>24</v>
      </c>
      <c r="D8" s="34">
        <v>48000</v>
      </c>
      <c r="E8" s="34">
        <v>2800</v>
      </c>
      <c r="F8" s="34">
        <v>3300</v>
      </c>
      <c r="G8" s="24">
        <f>Table2[[#This Row],[EMPLOYEE''S BASIC SALARY]]+Table2[[#This Row],[FOOD ALLOWANCE]]+Table2[[#This Row],[OVERTIME]]</f>
        <v>54100</v>
      </c>
      <c r="H8" s="34">
        <v>4200</v>
      </c>
      <c r="I8" s="24">
        <f>Table2[[#This Row],[GROSS SALARY]]-Table2[[#This Row],[ADVANCE ]]</f>
        <v>49900</v>
      </c>
    </row>
    <row r="9" spans="1:15">
      <c r="A9" s="32">
        <v>6</v>
      </c>
      <c r="B9" s="32" t="s">
        <v>25</v>
      </c>
      <c r="C9" s="33" t="s">
        <v>26</v>
      </c>
      <c r="D9" s="34">
        <v>55000</v>
      </c>
      <c r="E9" s="34">
        <v>3000</v>
      </c>
      <c r="F9" s="34">
        <v>3350</v>
      </c>
      <c r="G9" s="24">
        <f>Table2[[#This Row],[EMPLOYEE''S BASIC SALARY]]+Table2[[#This Row],[FOOD ALLOWANCE]]+Table2[[#This Row],[OVERTIME]]</f>
        <v>61350</v>
      </c>
      <c r="H9" s="34">
        <v>5200</v>
      </c>
      <c r="I9" s="24">
        <f>Table2[[#This Row],[GROSS SALARY]]-Table2[[#This Row],[ADVANCE ]]</f>
        <v>56150</v>
      </c>
    </row>
    <row r="10" spans="1:15">
      <c r="A10" s="32">
        <v>7</v>
      </c>
      <c r="B10" s="32" t="s">
        <v>27</v>
      </c>
      <c r="C10" s="33" t="s">
        <v>28</v>
      </c>
      <c r="D10" s="34">
        <v>52000</v>
      </c>
      <c r="E10" s="34">
        <v>4000</v>
      </c>
      <c r="F10" s="34">
        <v>3500</v>
      </c>
      <c r="G10" s="24">
        <f>Table2[[#This Row],[EMPLOYEE''S BASIC SALARY]]+Table2[[#This Row],[FOOD ALLOWANCE]]+Table2[[#This Row],[OVERTIME]]</f>
        <v>59500</v>
      </c>
      <c r="H10" s="34">
        <v>7000</v>
      </c>
      <c r="I10" s="24">
        <f>Table2[[#This Row],[GROSS SALARY]]-Table2[[#This Row],[ADVANCE ]]</f>
        <v>52500</v>
      </c>
    </row>
    <row r="11" spans="1:15">
      <c r="A11" s="32">
        <v>8</v>
      </c>
      <c r="B11" s="32" t="s">
        <v>29</v>
      </c>
      <c r="C11" s="33" t="s">
        <v>30</v>
      </c>
      <c r="D11" s="34">
        <v>54000</v>
      </c>
      <c r="E11" s="34">
        <v>3400</v>
      </c>
      <c r="F11" s="34">
        <v>3450</v>
      </c>
      <c r="G11" s="24">
        <f>Table2[[#This Row],[EMPLOYEE''S BASIC SALARY]]+Table2[[#This Row],[FOOD ALLOWANCE]]+Table2[[#This Row],[OVERTIME]]</f>
        <v>60850</v>
      </c>
      <c r="H11" s="34">
        <v>500</v>
      </c>
      <c r="I11" s="24">
        <f>Table2[[#This Row],[GROSS SALARY]]-Table2[[#This Row],[ADVANCE ]]</f>
        <v>60350</v>
      </c>
    </row>
    <row r="12" spans="1:15">
      <c r="A12" s="32">
        <v>9</v>
      </c>
      <c r="B12" s="32" t="s">
        <v>31</v>
      </c>
      <c r="C12" s="33" t="s">
        <v>32</v>
      </c>
      <c r="D12" s="34">
        <v>34000</v>
      </c>
      <c r="E12" s="34">
        <v>3600</v>
      </c>
      <c r="F12" s="34">
        <v>3500</v>
      </c>
      <c r="G12" s="24">
        <f>Table2[[#This Row],[EMPLOYEE''S BASIC SALARY]]+Table2[[#This Row],[FOOD ALLOWANCE]]+Table2[[#This Row],[OVERTIME]]</f>
        <v>41100</v>
      </c>
      <c r="H12" s="34">
        <v>900</v>
      </c>
      <c r="I12" s="24">
        <f>Table2[[#This Row],[GROSS SALARY]]-Table2[[#This Row],[ADVANCE ]]</f>
        <v>40200</v>
      </c>
    </row>
    <row r="13" spans="1:15">
      <c r="A13" s="32">
        <v>10</v>
      </c>
      <c r="B13" s="32" t="s">
        <v>33</v>
      </c>
      <c r="C13" s="33" t="s">
        <v>34</v>
      </c>
      <c r="D13" s="34">
        <v>58000</v>
      </c>
      <c r="E13" s="34">
        <v>5000</v>
      </c>
      <c r="F13" s="34">
        <v>3550</v>
      </c>
      <c r="G13" s="24">
        <f>Table2[[#This Row],[EMPLOYEE''S BASIC SALARY]]+Table2[[#This Row],[FOOD ALLOWANCE]]+Table2[[#This Row],[OVERTIME]]</f>
        <v>66550</v>
      </c>
      <c r="H13" s="34">
        <v>6000</v>
      </c>
      <c r="I13" s="24">
        <f>Table2[[#This Row],[GROSS SALARY]]-Table2[[#This Row],[ADVANCE ]]</f>
        <v>60550</v>
      </c>
    </row>
    <row r="14" spans="1:15">
      <c r="A14" s="35" t="s">
        <v>35</v>
      </c>
      <c r="B14" s="88"/>
      <c r="C14" s="35"/>
      <c r="D14" s="25">
        <f>SUM(D4:D13)</f>
        <v>489000</v>
      </c>
      <c r="E14" s="25">
        <f>SUM(E4:E13)</f>
        <v>31400</v>
      </c>
      <c r="F14" s="25">
        <f>SUM(F4:F13)</f>
        <v>33500</v>
      </c>
      <c r="G14" s="25">
        <f>Table2[[#This Row],[EMPLOYEE''S BASIC SALARY]]+Table2[[#This Row],[FOOD ALLOWANCE]]+Table2[[#This Row],[OVERTIME]]</f>
        <v>553900</v>
      </c>
      <c r="H14" s="25">
        <f>SUM(H4:H13)</f>
        <v>32300</v>
      </c>
      <c r="I14" s="25">
        <f>Table2[[#This Row],[GROSS SALARY]]-Table2[[#This Row],[ADVANCE ]]</f>
        <v>521600</v>
      </c>
      <c r="L14" s="36"/>
    </row>
    <row r="15" spans="1:15">
      <c r="A15" s="36"/>
      <c r="B15" s="36"/>
      <c r="C15" s="59"/>
      <c r="D15" s="59"/>
      <c r="E15" s="59"/>
      <c r="F15" s="59"/>
      <c r="G15" s="59"/>
      <c r="H15" s="59"/>
      <c r="I15" s="59"/>
    </row>
    <row r="16" spans="1:15">
      <c r="A16" s="37" t="s">
        <v>36</v>
      </c>
      <c r="B16" s="95" t="s">
        <v>37</v>
      </c>
      <c r="C16" s="95"/>
      <c r="D16" s="95"/>
      <c r="E16" s="95"/>
      <c r="F16" s="95"/>
      <c r="G16" s="32"/>
      <c r="H16" s="32"/>
      <c r="I16" s="32"/>
      <c r="J16" s="32"/>
      <c r="K16" s="32"/>
      <c r="L16" s="32"/>
    </row>
    <row r="17" spans="1:12">
      <c r="A17" s="32"/>
      <c r="B17" s="95" t="s">
        <v>38</v>
      </c>
      <c r="C17" s="95"/>
      <c r="D17" s="95"/>
      <c r="E17" s="95"/>
      <c r="F17" s="95"/>
      <c r="G17" s="32"/>
      <c r="H17" s="32"/>
      <c r="I17" s="32"/>
      <c r="J17" s="32"/>
      <c r="K17" s="32"/>
      <c r="L17" s="32"/>
    </row>
    <row r="18" spans="1:12">
      <c r="A18" s="32"/>
      <c r="B18" s="32"/>
      <c r="C18" s="33"/>
      <c r="D18" s="32"/>
      <c r="E18" s="32"/>
      <c r="F18" s="32"/>
      <c r="G18" s="32"/>
      <c r="H18" s="32"/>
      <c r="I18" s="32"/>
      <c r="J18" s="32"/>
      <c r="K18" s="32"/>
      <c r="L18" s="32"/>
    </row>
    <row r="19" spans="1:12">
      <c r="A19" s="32"/>
      <c r="B19" s="95" t="s">
        <v>39</v>
      </c>
      <c r="C19" s="95"/>
      <c r="D19" s="95"/>
      <c r="E19" s="95"/>
      <c r="F19" s="95"/>
      <c r="G19" s="95"/>
      <c r="H19" s="95"/>
      <c r="I19" s="95"/>
      <c r="J19" s="32"/>
      <c r="K19" s="32"/>
      <c r="L19" s="32"/>
    </row>
    <row r="20" spans="1:12">
      <c r="A20" s="32"/>
      <c r="B20" s="95" t="s">
        <v>40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</row>
  </sheetData>
  <mergeCells count="6">
    <mergeCell ref="B20:L20"/>
    <mergeCell ref="A1:XFD1"/>
    <mergeCell ref="A2:XFD2"/>
    <mergeCell ref="B16:F16"/>
    <mergeCell ref="B17:F17"/>
    <mergeCell ref="B19:I19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3"/>
  <sheetViews>
    <sheetView topLeftCell="A3" zoomScale="120" zoomScaleNormal="120" workbookViewId="0">
      <selection activeCell="J15" sqref="J15"/>
    </sheetView>
  </sheetViews>
  <sheetFormatPr defaultColWidth="9.109375" defaultRowHeight="14.4"/>
  <cols>
    <col min="1" max="3" width="9.109375" style="31"/>
    <col min="4" max="4" width="9.44140625" style="31" bestFit="1" customWidth="1"/>
    <col min="5" max="8" width="9.109375" style="31"/>
    <col min="9" max="9" width="11.6640625" style="31" customWidth="1"/>
    <col min="10" max="10" width="9.109375" style="31"/>
    <col min="11" max="11" width="13" style="31" customWidth="1"/>
    <col min="12" max="12" width="11.33203125" style="31" customWidth="1"/>
    <col min="13" max="13" width="20.5546875" style="31" bestFit="1" customWidth="1"/>
    <col min="14" max="16384" width="9.109375" style="31"/>
  </cols>
  <sheetData>
    <row r="1" spans="1:13" s="98" customFormat="1" ht="28.8">
      <c r="A1" s="96" t="s">
        <v>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s="99" customFormat="1"/>
    <row r="3" spans="1:13" ht="62.4">
      <c r="A3" s="26" t="s">
        <v>6</v>
      </c>
      <c r="B3" s="27" t="s">
        <v>7</v>
      </c>
      <c r="C3" s="28" t="s">
        <v>8</v>
      </c>
      <c r="D3" s="29" t="s">
        <v>9</v>
      </c>
      <c r="E3" s="29" t="s">
        <v>42</v>
      </c>
      <c r="F3" s="29" t="s">
        <v>43</v>
      </c>
      <c r="G3" s="29" t="s">
        <v>10</v>
      </c>
      <c r="H3" s="29" t="s">
        <v>44</v>
      </c>
      <c r="I3" s="29" t="s">
        <v>12</v>
      </c>
      <c r="J3" s="30" t="s">
        <v>13</v>
      </c>
      <c r="K3" s="29" t="s">
        <v>14</v>
      </c>
      <c r="L3" s="29" t="s">
        <v>45</v>
      </c>
      <c r="M3" s="31" t="s">
        <v>137</v>
      </c>
    </row>
    <row r="4" spans="1:13">
      <c r="A4" s="32">
        <v>1</v>
      </c>
      <c r="B4" s="32" t="s">
        <v>15</v>
      </c>
      <c r="C4" s="33" t="s">
        <v>16</v>
      </c>
      <c r="D4" s="34">
        <v>40000</v>
      </c>
      <c r="E4" s="38">
        <v>0.1</v>
      </c>
      <c r="F4" s="24">
        <f>Table5[[#This Row],[EMPLOYEE''S BASIC SALARY]]*Table5[[#This Row],[INCREMENT (10%)]]</f>
        <v>4000</v>
      </c>
      <c r="G4" s="34">
        <v>2000</v>
      </c>
      <c r="H4" s="34">
        <v>3100</v>
      </c>
      <c r="I4" s="24">
        <f>Table5[[#This Row],[EMPLOYEE''S BASIC SALARY]]+Table5[[#This Row],[INCREAMENT]]+Table5[[#This Row],[OVERTIME  ALLOWANCE]]+Table5[[#This Row],[FOOD ALLOWANCE]]</f>
        <v>49100</v>
      </c>
      <c r="J4" s="34">
        <v>2000</v>
      </c>
      <c r="K4" s="24">
        <f>Table5[[#This Row],[GROSS SALARY]]-Table5[[#This Row],[OVERTIME  ALLOWANCE]]</f>
        <v>46000</v>
      </c>
      <c r="L4" s="39">
        <f>Table5[[#This Row],[GROSS SALARY]]/30</f>
        <v>1636.6666666666667</v>
      </c>
      <c r="M4" s="64">
        <f>Table5[[#This Row],[EMPLOYEE''S BASIC SALARY]]*1.1</f>
        <v>44000</v>
      </c>
    </row>
    <row r="5" spans="1:13">
      <c r="A5" s="32">
        <v>2</v>
      </c>
      <c r="B5" s="32" t="s">
        <v>17</v>
      </c>
      <c r="C5" s="33" t="s">
        <v>18</v>
      </c>
      <c r="D5" s="34">
        <v>42000</v>
      </c>
      <c r="E5" s="38">
        <v>0.1</v>
      </c>
      <c r="F5" s="24">
        <f>Table5[[#This Row],[EMPLOYEE''S BASIC SALARY]]*Table5[[#This Row],[INCREMENT (10%)]]</f>
        <v>4200</v>
      </c>
      <c r="G5" s="34">
        <v>2200</v>
      </c>
      <c r="H5" s="34">
        <v>3150</v>
      </c>
      <c r="I5" s="24">
        <f>Table5[[#This Row],[EMPLOYEE''S BASIC SALARY]]+Table5[[#This Row],[INCREAMENT]]+Table5[[#This Row],[OVERTIME  ALLOWANCE]]+Table5[[#This Row],[FOOD ALLOWANCE]]</f>
        <v>51550</v>
      </c>
      <c r="J5" s="34">
        <v>1000</v>
      </c>
      <c r="K5" s="24">
        <f>Table5[[#This Row],[GROSS SALARY]]-Table5[[#This Row],[OVERTIME  ALLOWANCE]]</f>
        <v>48400</v>
      </c>
      <c r="L5" s="39">
        <f>Table5[[#This Row],[GROSS SALARY]]/30</f>
        <v>1718.3333333333333</v>
      </c>
      <c r="M5" s="64">
        <f>Table5[[#This Row],[EMPLOYEE''S BASIC SALARY]]*1.1</f>
        <v>46200.000000000007</v>
      </c>
    </row>
    <row r="6" spans="1:13">
      <c r="A6" s="32">
        <v>3</v>
      </c>
      <c r="B6" s="32" t="s">
        <v>19</v>
      </c>
      <c r="C6" s="33" t="s">
        <v>20</v>
      </c>
      <c r="D6" s="34">
        <v>60000</v>
      </c>
      <c r="E6" s="38">
        <v>0.1</v>
      </c>
      <c r="F6" s="24">
        <f>Table5[[#This Row],[EMPLOYEE''S BASIC SALARY]]*Table5[[#This Row],[INCREMENT (10%)]]</f>
        <v>6000</v>
      </c>
      <c r="G6" s="34">
        <v>2400</v>
      </c>
      <c r="H6" s="34">
        <v>3200</v>
      </c>
      <c r="I6" s="24">
        <f>Table5[[#This Row],[EMPLOYEE''S BASIC SALARY]]+Table5[[#This Row],[INCREAMENT]]+Table5[[#This Row],[OVERTIME  ALLOWANCE]]+Table5[[#This Row],[FOOD ALLOWANCE]]</f>
        <v>71600</v>
      </c>
      <c r="J6" s="34">
        <v>2500</v>
      </c>
      <c r="K6" s="24">
        <f>Table5[[#This Row],[GROSS SALARY]]-Table5[[#This Row],[OVERTIME  ALLOWANCE]]</f>
        <v>68400</v>
      </c>
      <c r="L6" s="39">
        <f>Table5[[#This Row],[GROSS SALARY]]/30</f>
        <v>2386.6666666666665</v>
      </c>
      <c r="M6" s="64">
        <f>Table5[[#This Row],[EMPLOYEE''S BASIC SALARY]]*1.1</f>
        <v>66000</v>
      </c>
    </row>
    <row r="7" spans="1:13">
      <c r="A7" s="32">
        <v>4</v>
      </c>
      <c r="B7" s="32" t="s">
        <v>21</v>
      </c>
      <c r="C7" s="33" t="s">
        <v>22</v>
      </c>
      <c r="D7" s="34">
        <v>46000</v>
      </c>
      <c r="E7" s="38">
        <v>0.1</v>
      </c>
      <c r="F7" s="24">
        <f>Table5[[#This Row],[EMPLOYEE''S BASIC SALARY]]*Table5[[#This Row],[INCREMENT (10%)]]</f>
        <v>4600</v>
      </c>
      <c r="G7" s="34">
        <v>3000</v>
      </c>
      <c r="H7" s="34">
        <v>3400</v>
      </c>
      <c r="I7" s="24">
        <f>Table5[[#This Row],[EMPLOYEE''S BASIC SALARY]]+Table5[[#This Row],[INCREAMENT]]+Table5[[#This Row],[OVERTIME  ALLOWANCE]]+Table5[[#This Row],[FOOD ALLOWANCE]]</f>
        <v>57000</v>
      </c>
      <c r="J7" s="34">
        <v>3000</v>
      </c>
      <c r="K7" s="24">
        <f>Table5[[#This Row],[GROSS SALARY]]-Table5[[#This Row],[OVERTIME  ALLOWANCE]]</f>
        <v>53600</v>
      </c>
      <c r="L7" s="39">
        <f>Table5[[#This Row],[GROSS SALARY]]/30</f>
        <v>1900</v>
      </c>
      <c r="M7" s="64">
        <f>Table5[[#This Row],[EMPLOYEE''S BASIC SALARY]]*1.1</f>
        <v>50600.000000000007</v>
      </c>
    </row>
    <row r="8" spans="1:13">
      <c r="A8" s="32">
        <v>5</v>
      </c>
      <c r="B8" s="32" t="s">
        <v>23</v>
      </c>
      <c r="C8" s="33" t="s">
        <v>24</v>
      </c>
      <c r="D8" s="34">
        <v>48000</v>
      </c>
      <c r="E8" s="38">
        <v>0.1</v>
      </c>
      <c r="F8" s="24">
        <f>Table5[[#This Row],[EMPLOYEE''S BASIC SALARY]]*Table5[[#This Row],[INCREMENT (10%)]]</f>
        <v>4800</v>
      </c>
      <c r="G8" s="34">
        <v>2800</v>
      </c>
      <c r="H8" s="34">
        <v>3300</v>
      </c>
      <c r="I8" s="24">
        <f>Table5[[#This Row],[EMPLOYEE''S BASIC SALARY]]+Table5[[#This Row],[INCREAMENT]]+Table5[[#This Row],[OVERTIME  ALLOWANCE]]+Table5[[#This Row],[FOOD ALLOWANCE]]</f>
        <v>58900</v>
      </c>
      <c r="J8" s="34">
        <v>4200</v>
      </c>
      <c r="K8" s="24">
        <f>Table5[[#This Row],[GROSS SALARY]]-Table5[[#This Row],[OVERTIME  ALLOWANCE]]</f>
        <v>55600</v>
      </c>
      <c r="L8" s="39">
        <f>Table5[[#This Row],[GROSS SALARY]]/30</f>
        <v>1963.3333333333333</v>
      </c>
      <c r="M8" s="64">
        <f>Table5[[#This Row],[EMPLOYEE''S BASIC SALARY]]*1.1</f>
        <v>52800.000000000007</v>
      </c>
    </row>
    <row r="9" spans="1:13">
      <c r="A9" s="32">
        <v>6</v>
      </c>
      <c r="B9" s="32" t="s">
        <v>25</v>
      </c>
      <c r="C9" s="33" t="s">
        <v>26</v>
      </c>
      <c r="D9" s="34">
        <v>55000</v>
      </c>
      <c r="E9" s="38">
        <v>0.1</v>
      </c>
      <c r="F9" s="24">
        <f>Table5[[#This Row],[EMPLOYEE''S BASIC SALARY]]*Table5[[#This Row],[INCREMENT (10%)]]</f>
        <v>5500</v>
      </c>
      <c r="G9" s="34">
        <v>3000</v>
      </c>
      <c r="H9" s="34">
        <v>3350</v>
      </c>
      <c r="I9" s="24">
        <f>Table5[[#This Row],[EMPLOYEE''S BASIC SALARY]]+Table5[[#This Row],[INCREAMENT]]+Table5[[#This Row],[OVERTIME  ALLOWANCE]]+Table5[[#This Row],[FOOD ALLOWANCE]]</f>
        <v>66850</v>
      </c>
      <c r="J9" s="34">
        <v>5200</v>
      </c>
      <c r="K9" s="24">
        <f>Table5[[#This Row],[GROSS SALARY]]-Table5[[#This Row],[OVERTIME  ALLOWANCE]]</f>
        <v>63500</v>
      </c>
      <c r="L9" s="39">
        <f>Table5[[#This Row],[GROSS SALARY]]/30</f>
        <v>2228.3333333333335</v>
      </c>
      <c r="M9" s="64">
        <f>Table5[[#This Row],[EMPLOYEE''S BASIC SALARY]]*1.1</f>
        <v>60500.000000000007</v>
      </c>
    </row>
    <row r="10" spans="1:13">
      <c r="A10" s="32">
        <v>7</v>
      </c>
      <c r="B10" s="32" t="s">
        <v>27</v>
      </c>
      <c r="C10" s="33" t="s">
        <v>28</v>
      </c>
      <c r="D10" s="34">
        <v>52000</v>
      </c>
      <c r="E10" s="38">
        <v>0.1</v>
      </c>
      <c r="F10" s="24">
        <f>Table5[[#This Row],[EMPLOYEE''S BASIC SALARY]]*Table5[[#This Row],[INCREMENT (10%)]]</f>
        <v>5200</v>
      </c>
      <c r="G10" s="34">
        <v>4000</v>
      </c>
      <c r="H10" s="34">
        <v>3500</v>
      </c>
      <c r="I10" s="24">
        <f>Table5[[#This Row],[EMPLOYEE''S BASIC SALARY]]+Table5[[#This Row],[INCREAMENT]]+Table5[[#This Row],[OVERTIME  ALLOWANCE]]+Table5[[#This Row],[FOOD ALLOWANCE]]</f>
        <v>64700</v>
      </c>
      <c r="J10" s="34">
        <v>7000</v>
      </c>
      <c r="K10" s="24">
        <f>Table5[[#This Row],[GROSS SALARY]]-Table5[[#This Row],[OVERTIME  ALLOWANCE]]</f>
        <v>61200</v>
      </c>
      <c r="L10" s="39">
        <f>Table5[[#This Row],[GROSS SALARY]]/30</f>
        <v>2156.6666666666665</v>
      </c>
      <c r="M10" s="64">
        <f>Table5[[#This Row],[EMPLOYEE''S BASIC SALARY]]*1.1</f>
        <v>57200.000000000007</v>
      </c>
    </row>
    <row r="11" spans="1:13">
      <c r="A11" s="32">
        <v>8</v>
      </c>
      <c r="B11" s="32" t="s">
        <v>29</v>
      </c>
      <c r="C11" s="33" t="s">
        <v>30</v>
      </c>
      <c r="D11" s="34">
        <v>54000</v>
      </c>
      <c r="E11" s="38">
        <v>0.1</v>
      </c>
      <c r="F11" s="24">
        <f>Table5[[#This Row],[EMPLOYEE''S BASIC SALARY]]*Table5[[#This Row],[INCREMENT (10%)]]</f>
        <v>5400</v>
      </c>
      <c r="G11" s="34">
        <v>3400</v>
      </c>
      <c r="H11" s="34">
        <v>3450</v>
      </c>
      <c r="I11" s="24">
        <f>Table5[[#This Row],[EMPLOYEE''S BASIC SALARY]]+Table5[[#This Row],[INCREAMENT]]+Table5[[#This Row],[OVERTIME  ALLOWANCE]]+Table5[[#This Row],[FOOD ALLOWANCE]]</f>
        <v>66250</v>
      </c>
      <c r="J11" s="34">
        <v>500</v>
      </c>
      <c r="K11" s="24">
        <f>Table5[[#This Row],[GROSS SALARY]]-Table5[[#This Row],[OVERTIME  ALLOWANCE]]</f>
        <v>62800</v>
      </c>
      <c r="L11" s="39">
        <f>Table5[[#This Row],[GROSS SALARY]]/30</f>
        <v>2208.3333333333335</v>
      </c>
      <c r="M11" s="64">
        <f>Table5[[#This Row],[EMPLOYEE''S BASIC SALARY]]*1.1</f>
        <v>59400.000000000007</v>
      </c>
    </row>
    <row r="12" spans="1:13">
      <c r="A12" s="32">
        <v>9</v>
      </c>
      <c r="B12" s="32" t="s">
        <v>31</v>
      </c>
      <c r="C12" s="33" t="s">
        <v>32</v>
      </c>
      <c r="D12" s="34">
        <v>34000</v>
      </c>
      <c r="E12" s="38">
        <v>0.1</v>
      </c>
      <c r="F12" s="24">
        <f>Table5[[#This Row],[EMPLOYEE''S BASIC SALARY]]*Table5[[#This Row],[INCREMENT (10%)]]</f>
        <v>3400</v>
      </c>
      <c r="G12" s="34">
        <v>3600</v>
      </c>
      <c r="H12" s="34">
        <v>3500</v>
      </c>
      <c r="I12" s="24">
        <f>Table5[[#This Row],[EMPLOYEE''S BASIC SALARY]]+Table5[[#This Row],[INCREAMENT]]+Table5[[#This Row],[OVERTIME  ALLOWANCE]]+Table5[[#This Row],[FOOD ALLOWANCE]]</f>
        <v>44500</v>
      </c>
      <c r="J12" s="34">
        <v>900</v>
      </c>
      <c r="K12" s="24">
        <f>Table5[[#This Row],[GROSS SALARY]]-Table5[[#This Row],[OVERTIME  ALLOWANCE]]</f>
        <v>41000</v>
      </c>
      <c r="L12" s="39">
        <f>Table5[[#This Row],[GROSS SALARY]]/30</f>
        <v>1483.3333333333333</v>
      </c>
      <c r="M12" s="64">
        <f>Table5[[#This Row],[EMPLOYEE''S BASIC SALARY]]*1.1</f>
        <v>37400</v>
      </c>
    </row>
    <row r="13" spans="1:13">
      <c r="A13" s="32">
        <v>10</v>
      </c>
      <c r="B13" s="32" t="s">
        <v>33</v>
      </c>
      <c r="C13" s="33" t="s">
        <v>34</v>
      </c>
      <c r="D13" s="34">
        <v>58000</v>
      </c>
      <c r="E13" s="38">
        <v>0.1</v>
      </c>
      <c r="F13" s="24">
        <f>Table5[[#This Row],[EMPLOYEE''S BASIC SALARY]]*Table5[[#This Row],[INCREMENT (10%)]]</f>
        <v>5800</v>
      </c>
      <c r="G13" s="34">
        <v>5000</v>
      </c>
      <c r="H13" s="34">
        <v>3550</v>
      </c>
      <c r="I13" s="24">
        <f>Table5[[#This Row],[EMPLOYEE''S BASIC SALARY]]+Table5[[#This Row],[INCREAMENT]]+Table5[[#This Row],[OVERTIME  ALLOWANCE]]+Table5[[#This Row],[FOOD ALLOWANCE]]</f>
        <v>72350</v>
      </c>
      <c r="J13" s="34">
        <v>6000</v>
      </c>
      <c r="K13" s="24">
        <f>Table5[[#This Row],[GROSS SALARY]]-Table5[[#This Row],[OVERTIME  ALLOWANCE]]</f>
        <v>68800</v>
      </c>
      <c r="L13" s="39">
        <f>Table5[[#This Row],[GROSS SALARY]]/30</f>
        <v>2411.6666666666665</v>
      </c>
      <c r="M13" s="64">
        <f>Table5[[#This Row],[EMPLOYEE''S BASIC SALARY]]*1.1</f>
        <v>63800.000000000007</v>
      </c>
    </row>
    <row r="14" spans="1:13">
      <c r="A14" s="35" t="s">
        <v>35</v>
      </c>
      <c r="B14" s="35"/>
      <c r="C14" s="35"/>
      <c r="D14" s="40">
        <f>SUM(D4:D13)</f>
        <v>489000</v>
      </c>
      <c r="E14" s="89">
        <f>SUM(E4:E13)</f>
        <v>0.99999999999999989</v>
      </c>
      <c r="F14" s="40">
        <f>SUM(F4:F13)</f>
        <v>48900</v>
      </c>
      <c r="G14" s="40">
        <f>SUM(G4:G13)</f>
        <v>31400</v>
      </c>
      <c r="H14" s="40">
        <f>SUM(H4:H13)</f>
        <v>33500</v>
      </c>
      <c r="I14" s="40">
        <f>Table5[[#This Row],[EMPLOYEE''S BASIC SALARY]]+Table5[[#This Row],[INCREAMENT]]+Table5[[#This Row],[OVERTIME  ALLOWANCE]]+Table5[[#This Row],[FOOD ALLOWANCE]]</f>
        <v>602800</v>
      </c>
      <c r="J14" s="40">
        <f>SUM(J4:J13)</f>
        <v>32300</v>
      </c>
      <c r="K14" s="40">
        <f>Table5[[#This Row],[GROSS SALARY]]-Table5[[#This Row],[OVERTIME  ALLOWANCE]]</f>
        <v>569300</v>
      </c>
      <c r="L14" s="40">
        <f>Table5[[#This Row],[GROSS SALARY]]/30</f>
        <v>20093.333333333332</v>
      </c>
      <c r="M14" s="40">
        <f>Table5[[#This Row],[EMPLOYEE''S BASIC SALARY]]*1.1</f>
        <v>537900</v>
      </c>
    </row>
    <row r="15" spans="1:13">
      <c r="A15" s="36"/>
      <c r="B15" s="36"/>
      <c r="C15" s="36"/>
      <c r="D15" s="36"/>
      <c r="E15" s="36"/>
      <c r="F15" s="59"/>
      <c r="G15" s="36"/>
      <c r="H15" s="36"/>
      <c r="I15" s="59"/>
      <c r="J15" s="36"/>
      <c r="K15" s="59"/>
      <c r="L15" s="61"/>
      <c r="M15" s="59"/>
    </row>
    <row r="16" spans="1:13">
      <c r="A16" s="37" t="s">
        <v>46</v>
      </c>
      <c r="B16" s="95" t="s">
        <v>47</v>
      </c>
      <c r="C16" s="95"/>
      <c r="D16" s="95"/>
      <c r="E16" s="95"/>
      <c r="F16" s="95"/>
      <c r="G16" s="95"/>
      <c r="H16" s="95"/>
      <c r="I16" s="32"/>
      <c r="J16" s="32"/>
      <c r="K16" s="32"/>
      <c r="L16" s="32"/>
    </row>
    <row r="17" spans="1:12">
      <c r="A17" s="32"/>
      <c r="B17" s="95" t="s">
        <v>48</v>
      </c>
      <c r="C17" s="95"/>
      <c r="D17" s="95"/>
      <c r="E17" s="95"/>
      <c r="F17" s="95"/>
      <c r="G17" s="95"/>
      <c r="H17" s="95"/>
      <c r="I17" s="32"/>
      <c r="J17" s="32"/>
      <c r="K17" s="32"/>
      <c r="L17" s="32"/>
    </row>
    <row r="18" spans="1:12">
      <c r="A18" s="32"/>
      <c r="B18" s="95" t="s">
        <v>49</v>
      </c>
      <c r="C18" s="95"/>
      <c r="D18" s="95"/>
      <c r="E18" s="95"/>
      <c r="F18" s="95"/>
      <c r="G18" s="95"/>
      <c r="H18" s="95"/>
      <c r="I18" s="32"/>
      <c r="J18" s="32"/>
      <c r="K18" s="32"/>
      <c r="L18" s="32"/>
    </row>
    <row r="19" spans="1:12">
      <c r="A19" s="37" t="s">
        <v>50</v>
      </c>
      <c r="B19" s="37"/>
      <c r="C19" s="37"/>
      <c r="D19" s="37"/>
      <c r="E19" s="37"/>
      <c r="F19" s="37"/>
      <c r="G19" s="37"/>
      <c r="H19" s="37"/>
      <c r="I19" s="37"/>
      <c r="J19" s="32"/>
      <c r="K19" s="32"/>
      <c r="L19" s="32"/>
    </row>
    <row r="20" spans="1:12">
      <c r="A20" s="37"/>
      <c r="B20" s="37"/>
      <c r="C20" s="37"/>
      <c r="D20" s="37"/>
      <c r="E20" s="37"/>
      <c r="F20" s="37"/>
      <c r="G20" s="37"/>
      <c r="H20" s="37"/>
      <c r="I20" s="37"/>
      <c r="J20" s="32"/>
      <c r="K20" s="32"/>
      <c r="L20" s="32"/>
    </row>
    <row r="21" spans="1:12">
      <c r="A21" s="95" t="s">
        <v>51</v>
      </c>
      <c r="B21" s="95"/>
      <c r="C21" s="95"/>
      <c r="D21" s="95"/>
      <c r="E21" s="95"/>
      <c r="F21" s="95"/>
      <c r="G21" s="95"/>
      <c r="H21" s="95"/>
      <c r="I21" s="95"/>
      <c r="J21" s="95"/>
      <c r="K21" s="32"/>
      <c r="L21" s="32"/>
    </row>
    <row r="22" spans="1:1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32"/>
      <c r="L22" s="32"/>
    </row>
    <row r="23" spans="1:12">
      <c r="A23" s="95" t="s">
        <v>52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</row>
    <row r="52" spans="13:13">
      <c r="M52" s="31">
        <f>100%</f>
        <v>1</v>
      </c>
    </row>
    <row r="53" spans="13:13">
      <c r="M53" s="31">
        <f>10%</f>
        <v>0.1</v>
      </c>
    </row>
  </sheetData>
  <mergeCells count="7">
    <mergeCell ref="A21:J21"/>
    <mergeCell ref="A23:L23"/>
    <mergeCell ref="A1:XFD1"/>
    <mergeCell ref="A2:XFD2"/>
    <mergeCell ref="B16:H16"/>
    <mergeCell ref="B17:H17"/>
    <mergeCell ref="B18:H18"/>
  </mergeCells>
  <phoneticPr fontId="30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21"/>
  <sheetViews>
    <sheetView workbookViewId="0">
      <selection activeCell="N18" sqref="N18"/>
    </sheetView>
  </sheetViews>
  <sheetFormatPr defaultRowHeight="14.4"/>
  <cols>
    <col min="2" max="2" width="10.6640625" customWidth="1"/>
    <col min="3" max="3" width="7.88671875" customWidth="1"/>
    <col min="5" max="5" width="8.109375" customWidth="1"/>
    <col min="6" max="6" width="7.33203125" customWidth="1"/>
    <col min="7" max="7" width="9" customWidth="1"/>
    <col min="8" max="8" width="6.88671875" customWidth="1"/>
    <col min="9" max="9" width="7.33203125" customWidth="1"/>
    <col min="16" max="16" width="10.6640625" customWidth="1"/>
    <col min="20" max="20" width="9.88671875" customWidth="1"/>
    <col min="23" max="23" width="81.88671875" customWidth="1"/>
    <col min="27" max="27" width="78.33203125" customWidth="1"/>
  </cols>
  <sheetData>
    <row r="2" spans="2:23" ht="26.25" customHeight="1">
      <c r="W2" s="68" t="s">
        <v>234</v>
      </c>
    </row>
    <row r="3" spans="2:23" ht="57" customHeight="1">
      <c r="B3" s="70" t="s">
        <v>143</v>
      </c>
      <c r="C3" s="70" t="s">
        <v>216</v>
      </c>
      <c r="D3" s="70" t="s">
        <v>217</v>
      </c>
      <c r="E3" s="70" t="s">
        <v>235</v>
      </c>
      <c r="F3" s="70" t="s">
        <v>248</v>
      </c>
      <c r="G3" s="70" t="s">
        <v>249</v>
      </c>
      <c r="H3" s="70" t="s">
        <v>236</v>
      </c>
      <c r="I3" s="70" t="s">
        <v>237</v>
      </c>
      <c r="J3" s="70" t="s">
        <v>238</v>
      </c>
      <c r="K3" s="70" t="s">
        <v>218</v>
      </c>
      <c r="L3" s="70" t="s">
        <v>239</v>
      </c>
      <c r="M3" s="70" t="s">
        <v>247</v>
      </c>
      <c r="N3" s="68"/>
      <c r="O3">
        <v>1</v>
      </c>
      <c r="P3" s="67" t="s">
        <v>227</v>
      </c>
      <c r="U3" s="81" t="s">
        <v>240</v>
      </c>
    </row>
    <row r="4" spans="2:23" ht="15.75" customHeight="1">
      <c r="B4" s="71" t="s">
        <v>219</v>
      </c>
      <c r="C4" s="71">
        <v>10</v>
      </c>
      <c r="D4" s="71">
        <v>15</v>
      </c>
      <c r="E4" s="90">
        <f>C4*D4</f>
        <v>150</v>
      </c>
      <c r="F4" s="71">
        <f>D4*1.1</f>
        <v>16.5</v>
      </c>
      <c r="G4" s="71">
        <f>D4*(1-0.05)</f>
        <v>14.25</v>
      </c>
      <c r="H4" s="71">
        <v>5</v>
      </c>
      <c r="I4" s="71">
        <f>E4*H4%</f>
        <v>7.5</v>
      </c>
      <c r="J4" s="71">
        <f>E4-I4</f>
        <v>142.5</v>
      </c>
      <c r="K4" s="71">
        <v>12</v>
      </c>
      <c r="L4" s="71">
        <f>J4*K4/100</f>
        <v>17.100000000000001</v>
      </c>
      <c r="M4" s="71">
        <f>J4+L4</f>
        <v>159.6</v>
      </c>
      <c r="N4" s="69"/>
    </row>
    <row r="5" spans="2:23" ht="15.75" customHeight="1">
      <c r="B5" s="71" t="s">
        <v>220</v>
      </c>
      <c r="C5" s="71">
        <v>4</v>
      </c>
      <c r="D5" s="71">
        <v>120</v>
      </c>
      <c r="E5" s="90">
        <f t="shared" ref="E5:E11" si="0">C5*D5</f>
        <v>480</v>
      </c>
      <c r="F5" s="71">
        <f t="shared" ref="F5:F11" si="1">D5*1.1</f>
        <v>132</v>
      </c>
      <c r="G5" s="71">
        <f>D5*0.95</f>
        <v>114</v>
      </c>
      <c r="H5" s="71">
        <v>10</v>
      </c>
      <c r="I5" s="71">
        <f t="shared" ref="I5:I11" si="2">E5*H5%</f>
        <v>48</v>
      </c>
      <c r="J5" s="71">
        <f t="shared" ref="J5:J11" si="3">E5-I5</f>
        <v>432</v>
      </c>
      <c r="K5" s="71">
        <v>5</v>
      </c>
      <c r="L5" s="71">
        <f t="shared" ref="L5:L11" si="4">J5*K5/100</f>
        <v>21.6</v>
      </c>
      <c r="M5" s="71">
        <f t="shared" ref="M5:M11" si="5">J5+L5</f>
        <v>453.6</v>
      </c>
      <c r="N5" s="69"/>
      <c r="O5">
        <v>2</v>
      </c>
      <c r="P5" s="67" t="s">
        <v>228</v>
      </c>
      <c r="U5" s="81" t="s">
        <v>241</v>
      </c>
    </row>
    <row r="6" spans="2:23" ht="15.75" customHeight="1">
      <c r="B6" s="71" t="s">
        <v>221</v>
      </c>
      <c r="C6" s="71">
        <v>2</v>
      </c>
      <c r="D6" s="71">
        <v>450</v>
      </c>
      <c r="E6" s="90">
        <f t="shared" si="0"/>
        <v>900</v>
      </c>
      <c r="F6" s="71">
        <f t="shared" si="1"/>
        <v>495.00000000000006</v>
      </c>
      <c r="G6" s="71">
        <f>D6*(1-0.05)</f>
        <v>427.5</v>
      </c>
      <c r="H6" s="71">
        <v>0</v>
      </c>
      <c r="I6" s="71">
        <f t="shared" si="2"/>
        <v>0</v>
      </c>
      <c r="J6" s="71">
        <f t="shared" si="3"/>
        <v>900</v>
      </c>
      <c r="K6" s="71">
        <v>18</v>
      </c>
      <c r="L6" s="71">
        <f t="shared" si="4"/>
        <v>162</v>
      </c>
      <c r="M6" s="71">
        <f t="shared" si="5"/>
        <v>1062</v>
      </c>
      <c r="N6" s="69"/>
    </row>
    <row r="7" spans="2:23" ht="15.75" customHeight="1">
      <c r="B7" s="71" t="s">
        <v>222</v>
      </c>
      <c r="C7" s="71">
        <v>5</v>
      </c>
      <c r="D7" s="71">
        <v>60</v>
      </c>
      <c r="E7" s="90">
        <f t="shared" si="0"/>
        <v>300</v>
      </c>
      <c r="F7" s="71">
        <f t="shared" si="1"/>
        <v>66</v>
      </c>
      <c r="G7" s="71">
        <f>D7*0.95</f>
        <v>57</v>
      </c>
      <c r="H7" s="71">
        <v>12</v>
      </c>
      <c r="I7" s="71">
        <f t="shared" si="2"/>
        <v>36</v>
      </c>
      <c r="J7" s="71">
        <f t="shared" si="3"/>
        <v>264</v>
      </c>
      <c r="K7" s="71">
        <v>5</v>
      </c>
      <c r="L7" s="71">
        <f t="shared" si="4"/>
        <v>13.2</v>
      </c>
      <c r="M7" s="71">
        <f t="shared" si="5"/>
        <v>277.2</v>
      </c>
      <c r="N7" s="69"/>
      <c r="O7">
        <v>3</v>
      </c>
      <c r="P7" s="67" t="s">
        <v>229</v>
      </c>
      <c r="U7" s="81" t="s">
        <v>242</v>
      </c>
    </row>
    <row r="8" spans="2:23" ht="15.75" customHeight="1">
      <c r="B8" s="71" t="s">
        <v>223</v>
      </c>
      <c r="C8" s="71">
        <v>8</v>
      </c>
      <c r="D8" s="71">
        <v>30</v>
      </c>
      <c r="E8" s="90">
        <f t="shared" si="0"/>
        <v>240</v>
      </c>
      <c r="F8" s="71">
        <f t="shared" si="1"/>
        <v>33</v>
      </c>
      <c r="G8" s="71">
        <f>D8*0.95</f>
        <v>28.5</v>
      </c>
      <c r="H8" s="71">
        <v>8</v>
      </c>
      <c r="I8" s="71">
        <f t="shared" si="2"/>
        <v>19.2</v>
      </c>
      <c r="J8" s="71">
        <f t="shared" si="3"/>
        <v>220.8</v>
      </c>
      <c r="K8" s="71">
        <v>12</v>
      </c>
      <c r="L8" s="71">
        <f t="shared" si="4"/>
        <v>26.496000000000002</v>
      </c>
      <c r="M8" s="71">
        <f t="shared" si="5"/>
        <v>247.29600000000002</v>
      </c>
      <c r="N8" s="69"/>
    </row>
    <row r="9" spans="2:23" ht="15.75" customHeight="1">
      <c r="B9" s="71" t="s">
        <v>224</v>
      </c>
      <c r="C9" s="71">
        <v>3</v>
      </c>
      <c r="D9" s="71">
        <v>80</v>
      </c>
      <c r="E9" s="90">
        <f t="shared" si="0"/>
        <v>240</v>
      </c>
      <c r="F9" s="71">
        <f t="shared" si="1"/>
        <v>88</v>
      </c>
      <c r="G9" s="71">
        <f>D9*0.95</f>
        <v>76</v>
      </c>
      <c r="H9" s="71">
        <v>5</v>
      </c>
      <c r="I9" s="71">
        <f t="shared" si="2"/>
        <v>12</v>
      </c>
      <c r="J9" s="71">
        <f t="shared" si="3"/>
        <v>228</v>
      </c>
      <c r="K9" s="71">
        <v>18</v>
      </c>
      <c r="L9" s="71">
        <f t="shared" si="4"/>
        <v>41.04</v>
      </c>
      <c r="M9" s="71">
        <f t="shared" si="5"/>
        <v>269.04000000000002</v>
      </c>
      <c r="N9" s="69"/>
      <c r="O9">
        <v>4</v>
      </c>
      <c r="P9" s="67" t="s">
        <v>230</v>
      </c>
      <c r="U9" s="81" t="s">
        <v>243</v>
      </c>
    </row>
    <row r="10" spans="2:23" ht="15.75" customHeight="1">
      <c r="B10" s="71" t="s">
        <v>225</v>
      </c>
      <c r="C10" s="71">
        <v>6</v>
      </c>
      <c r="D10" s="71">
        <v>25</v>
      </c>
      <c r="E10" s="90">
        <f t="shared" si="0"/>
        <v>150</v>
      </c>
      <c r="F10" s="71">
        <f t="shared" si="1"/>
        <v>27.500000000000004</v>
      </c>
      <c r="G10" s="71">
        <f>D10*0.95</f>
        <v>23.75</v>
      </c>
      <c r="H10" s="71">
        <v>0</v>
      </c>
      <c r="I10" s="71">
        <f t="shared" si="2"/>
        <v>0</v>
      </c>
      <c r="J10" s="71">
        <f t="shared" si="3"/>
        <v>150</v>
      </c>
      <c r="K10" s="71">
        <v>5</v>
      </c>
      <c r="L10" s="71">
        <f t="shared" si="4"/>
        <v>7.5</v>
      </c>
      <c r="M10" s="71">
        <f t="shared" si="5"/>
        <v>157.5</v>
      </c>
      <c r="N10" s="69"/>
    </row>
    <row r="11" spans="2:23" ht="15.75" customHeight="1">
      <c r="B11" s="71" t="s">
        <v>226</v>
      </c>
      <c r="C11" s="71">
        <v>9</v>
      </c>
      <c r="D11" s="71">
        <v>12</v>
      </c>
      <c r="E11" s="90">
        <f t="shared" si="0"/>
        <v>108</v>
      </c>
      <c r="F11" s="71">
        <f t="shared" si="1"/>
        <v>13.200000000000001</v>
      </c>
      <c r="G11" s="71">
        <f>D11*0.95</f>
        <v>11.399999999999999</v>
      </c>
      <c r="H11" s="71">
        <v>2</v>
      </c>
      <c r="I11" s="71">
        <f t="shared" si="2"/>
        <v>2.16</v>
      </c>
      <c r="J11" s="71">
        <f t="shared" si="3"/>
        <v>105.84</v>
      </c>
      <c r="K11" s="71">
        <v>5</v>
      </c>
      <c r="L11" s="71">
        <f t="shared" si="4"/>
        <v>5.2920000000000007</v>
      </c>
      <c r="M11" s="71">
        <f t="shared" si="5"/>
        <v>111.13200000000001</v>
      </c>
      <c r="N11" s="69"/>
      <c r="O11">
        <v>5</v>
      </c>
      <c r="P11" s="67" t="s">
        <v>231</v>
      </c>
      <c r="U11" s="81" t="s">
        <v>244</v>
      </c>
    </row>
    <row r="12" spans="2:23" ht="15.75" customHeight="1"/>
    <row r="13" spans="2:23" ht="15.75" customHeight="1">
      <c r="O13">
        <v>6</v>
      </c>
      <c r="P13" s="67" t="s">
        <v>232</v>
      </c>
      <c r="U13" s="81" t="s">
        <v>245</v>
      </c>
    </row>
    <row r="15" spans="2:23">
      <c r="O15">
        <v>7</v>
      </c>
      <c r="P15" s="67" t="s">
        <v>233</v>
      </c>
      <c r="U15" s="81" t="s">
        <v>246</v>
      </c>
    </row>
    <row r="17" spans="16:23">
      <c r="P17" s="67"/>
      <c r="W17" s="81"/>
    </row>
    <row r="19" spans="16:23">
      <c r="P19" s="67"/>
      <c r="W19" s="81"/>
    </row>
    <row r="21" spans="16:23">
      <c r="P21" s="67"/>
      <c r="W21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T28"/>
  <sheetViews>
    <sheetView tabSelected="1" topLeftCell="A2" workbookViewId="0">
      <selection activeCell="K4" sqref="K4"/>
    </sheetView>
  </sheetViews>
  <sheetFormatPr defaultRowHeight="14.4"/>
  <sheetData>
    <row r="3" spans="2:20" ht="57.6">
      <c r="B3" s="70" t="s">
        <v>143</v>
      </c>
      <c r="C3" s="70" t="s">
        <v>144</v>
      </c>
      <c r="D3" s="70" t="s">
        <v>145</v>
      </c>
      <c r="E3" s="70" t="s">
        <v>146</v>
      </c>
      <c r="F3" s="70" t="s">
        <v>147</v>
      </c>
      <c r="G3" s="73" t="s">
        <v>174</v>
      </c>
      <c r="H3" s="74" t="s">
        <v>177</v>
      </c>
      <c r="I3" s="74" t="s">
        <v>178</v>
      </c>
      <c r="J3" s="74" t="s">
        <v>184</v>
      </c>
    </row>
    <row r="4" spans="2:20">
      <c r="B4" s="71" t="s">
        <v>148</v>
      </c>
      <c r="C4" s="71">
        <v>100</v>
      </c>
      <c r="D4" s="71">
        <v>120</v>
      </c>
      <c r="E4" s="71">
        <v>10</v>
      </c>
      <c r="F4" s="71">
        <v>5</v>
      </c>
      <c r="G4" s="91">
        <f>(D4-C4)/C4</f>
        <v>0.2</v>
      </c>
      <c r="H4" s="75">
        <f>D4*E4%</f>
        <v>12</v>
      </c>
      <c r="I4" s="75">
        <f>D4-(D4*E4/100)</f>
        <v>108</v>
      </c>
      <c r="J4" s="75">
        <f>I4*(1+F4%)</f>
        <v>113.4</v>
      </c>
      <c r="N4" s="69">
        <v>1</v>
      </c>
      <c r="O4" s="100" t="s">
        <v>173</v>
      </c>
      <c r="P4" s="100"/>
      <c r="Q4" s="100"/>
      <c r="R4" s="100"/>
      <c r="S4" s="100"/>
    </row>
    <row r="5" spans="2:20">
      <c r="B5" s="71" t="s">
        <v>149</v>
      </c>
      <c r="C5" s="71">
        <v>200</v>
      </c>
      <c r="D5" s="71">
        <v>250</v>
      </c>
      <c r="E5" s="71">
        <v>5</v>
      </c>
      <c r="F5" s="71">
        <v>12</v>
      </c>
      <c r="G5" s="91">
        <f t="shared" ref="G5:G28" si="0">(D5-C5)/C5</f>
        <v>0.25</v>
      </c>
      <c r="H5" s="75">
        <f t="shared" ref="H5:H28" si="1">D5*(E5/100)</f>
        <v>12.5</v>
      </c>
      <c r="I5" s="75">
        <f t="shared" ref="I5:I28" si="2">D5-(D5*E5/100)</f>
        <v>237.5</v>
      </c>
      <c r="J5" s="75">
        <f t="shared" ref="J5:J28" si="3">I5+(I5*F5/100)</f>
        <v>266</v>
      </c>
      <c r="O5" s="101" t="s">
        <v>180</v>
      </c>
      <c r="P5" s="101"/>
      <c r="Q5" s="101"/>
      <c r="R5" s="101"/>
      <c r="S5" s="101"/>
    </row>
    <row r="6" spans="2:20">
      <c r="B6" s="71" t="s">
        <v>150</v>
      </c>
      <c r="C6" s="71">
        <v>150</v>
      </c>
      <c r="D6" s="71">
        <v>165</v>
      </c>
      <c r="E6" s="71">
        <v>8</v>
      </c>
      <c r="F6" s="71">
        <v>5</v>
      </c>
      <c r="G6" s="91">
        <f t="shared" si="0"/>
        <v>0.1</v>
      </c>
      <c r="H6" s="75">
        <f t="shared" si="1"/>
        <v>13.200000000000001</v>
      </c>
      <c r="I6" s="75">
        <f t="shared" si="2"/>
        <v>151.80000000000001</v>
      </c>
      <c r="J6" s="75">
        <f t="shared" si="3"/>
        <v>159.39000000000001</v>
      </c>
    </row>
    <row r="7" spans="2:20">
      <c r="B7" s="71" t="s">
        <v>151</v>
      </c>
      <c r="C7" s="71">
        <v>300</v>
      </c>
      <c r="D7" s="71">
        <v>270</v>
      </c>
      <c r="E7" s="71">
        <v>15</v>
      </c>
      <c r="F7" s="71">
        <v>18</v>
      </c>
      <c r="G7" s="91">
        <f t="shared" si="0"/>
        <v>-0.1</v>
      </c>
      <c r="H7" s="75">
        <f t="shared" si="1"/>
        <v>40.5</v>
      </c>
      <c r="I7" s="75">
        <f t="shared" si="2"/>
        <v>229.5</v>
      </c>
      <c r="J7" s="75">
        <f t="shared" si="3"/>
        <v>270.81</v>
      </c>
      <c r="N7">
        <v>2</v>
      </c>
      <c r="O7" s="100" t="s">
        <v>175</v>
      </c>
      <c r="P7" s="100"/>
      <c r="Q7" s="100"/>
      <c r="R7" s="100"/>
      <c r="S7" s="100"/>
    </row>
    <row r="8" spans="2:20">
      <c r="B8" s="71" t="s">
        <v>152</v>
      </c>
      <c r="C8" s="71">
        <v>500</v>
      </c>
      <c r="D8" s="71">
        <v>550</v>
      </c>
      <c r="E8" s="71">
        <v>0</v>
      </c>
      <c r="F8" s="71">
        <v>12</v>
      </c>
      <c r="G8" s="91">
        <f t="shared" si="0"/>
        <v>0.1</v>
      </c>
      <c r="H8" s="75">
        <f t="shared" si="1"/>
        <v>0</v>
      </c>
      <c r="I8" s="75">
        <f t="shared" si="2"/>
        <v>550</v>
      </c>
      <c r="J8" s="75">
        <f t="shared" si="3"/>
        <v>616</v>
      </c>
      <c r="O8" s="101" t="s">
        <v>181</v>
      </c>
      <c r="P8" s="101"/>
      <c r="Q8" s="101"/>
      <c r="R8" s="101"/>
      <c r="S8" s="101"/>
    </row>
    <row r="9" spans="2:20">
      <c r="B9" s="71" t="s">
        <v>153</v>
      </c>
      <c r="C9" s="71">
        <v>120</v>
      </c>
      <c r="D9" s="71">
        <v>180</v>
      </c>
      <c r="E9" s="71">
        <v>10</v>
      </c>
      <c r="F9" s="71">
        <v>5</v>
      </c>
      <c r="G9" s="91">
        <f t="shared" si="0"/>
        <v>0.5</v>
      </c>
      <c r="H9" s="75">
        <f t="shared" si="1"/>
        <v>18</v>
      </c>
      <c r="I9" s="75">
        <f t="shared" si="2"/>
        <v>162</v>
      </c>
      <c r="J9" s="75">
        <f t="shared" si="3"/>
        <v>170.1</v>
      </c>
    </row>
    <row r="10" spans="2:20">
      <c r="B10" s="71" t="s">
        <v>154</v>
      </c>
      <c r="C10" s="71">
        <v>600</v>
      </c>
      <c r="D10" s="71">
        <v>580</v>
      </c>
      <c r="E10" s="71">
        <v>5</v>
      </c>
      <c r="F10" s="71">
        <v>12</v>
      </c>
      <c r="G10" s="91">
        <f t="shared" si="0"/>
        <v>-3.3333333333333333E-2</v>
      </c>
      <c r="H10" s="75">
        <f t="shared" si="1"/>
        <v>29</v>
      </c>
      <c r="I10" s="75">
        <f t="shared" si="2"/>
        <v>551</v>
      </c>
      <c r="J10" s="75">
        <f t="shared" si="3"/>
        <v>617.12</v>
      </c>
      <c r="N10">
        <v>3</v>
      </c>
      <c r="O10" s="100" t="s">
        <v>176</v>
      </c>
      <c r="P10" s="100"/>
      <c r="Q10" s="100"/>
      <c r="R10" s="100"/>
      <c r="S10" s="100"/>
    </row>
    <row r="11" spans="2:20">
      <c r="B11" s="71" t="s">
        <v>155</v>
      </c>
      <c r="C11" s="71">
        <v>80</v>
      </c>
      <c r="D11" s="71">
        <v>100</v>
      </c>
      <c r="E11" s="71">
        <v>12</v>
      </c>
      <c r="F11" s="71">
        <v>5</v>
      </c>
      <c r="G11" s="91">
        <f t="shared" si="0"/>
        <v>0.25</v>
      </c>
      <c r="H11" s="75">
        <f t="shared" si="1"/>
        <v>12</v>
      </c>
      <c r="I11" s="75">
        <f t="shared" si="2"/>
        <v>88</v>
      </c>
      <c r="J11" s="75">
        <f t="shared" si="3"/>
        <v>92.4</v>
      </c>
      <c r="O11" s="101" t="s">
        <v>182</v>
      </c>
      <c r="P11" s="101"/>
      <c r="Q11" s="101"/>
      <c r="R11" s="101"/>
      <c r="S11" s="101"/>
      <c r="T11" s="101"/>
    </row>
    <row r="12" spans="2:20">
      <c r="B12" s="71" t="s">
        <v>156</v>
      </c>
      <c r="C12" s="71">
        <v>250</v>
      </c>
      <c r="D12" s="71">
        <v>300</v>
      </c>
      <c r="E12" s="71">
        <v>6</v>
      </c>
      <c r="F12" s="71">
        <v>12</v>
      </c>
      <c r="G12" s="91">
        <f t="shared" si="0"/>
        <v>0.2</v>
      </c>
      <c r="H12" s="75">
        <f t="shared" si="1"/>
        <v>18</v>
      </c>
      <c r="I12" s="75">
        <f t="shared" si="2"/>
        <v>282</v>
      </c>
      <c r="J12" s="75">
        <f t="shared" si="3"/>
        <v>315.84000000000003</v>
      </c>
    </row>
    <row r="13" spans="2:20">
      <c r="B13" s="71" t="s">
        <v>157</v>
      </c>
      <c r="C13" s="71">
        <v>1000</v>
      </c>
      <c r="D13" s="71">
        <v>950</v>
      </c>
      <c r="E13" s="71">
        <v>20</v>
      </c>
      <c r="F13" s="71">
        <v>18</v>
      </c>
      <c r="G13" s="91">
        <f t="shared" si="0"/>
        <v>-0.05</v>
      </c>
      <c r="H13" s="75">
        <f t="shared" si="1"/>
        <v>190</v>
      </c>
      <c r="I13" s="75">
        <f t="shared" si="2"/>
        <v>760</v>
      </c>
      <c r="J13" s="75">
        <f t="shared" si="3"/>
        <v>896.8</v>
      </c>
      <c r="N13">
        <v>4</v>
      </c>
      <c r="O13" s="100" t="s">
        <v>179</v>
      </c>
      <c r="P13" s="100"/>
      <c r="Q13" s="100"/>
      <c r="R13" s="100"/>
      <c r="S13" s="100"/>
    </row>
    <row r="14" spans="2:20">
      <c r="B14" s="71" t="s">
        <v>158</v>
      </c>
      <c r="C14" s="71">
        <v>400</v>
      </c>
      <c r="D14" s="71">
        <v>480</v>
      </c>
      <c r="E14" s="71">
        <v>8</v>
      </c>
      <c r="F14" s="71">
        <v>12</v>
      </c>
      <c r="G14" s="91">
        <f t="shared" si="0"/>
        <v>0.2</v>
      </c>
      <c r="H14" s="75">
        <f t="shared" si="1"/>
        <v>38.4</v>
      </c>
      <c r="I14" s="75">
        <f t="shared" si="2"/>
        <v>441.6</v>
      </c>
      <c r="J14" s="75">
        <f t="shared" si="3"/>
        <v>494.59200000000004</v>
      </c>
      <c r="O14" s="101" t="s">
        <v>183</v>
      </c>
      <c r="P14" s="101"/>
      <c r="Q14" s="101"/>
      <c r="R14" s="101"/>
      <c r="S14" s="101"/>
    </row>
    <row r="15" spans="2:20">
      <c r="B15" s="71" t="s">
        <v>159</v>
      </c>
      <c r="C15" s="71">
        <v>220</v>
      </c>
      <c r="D15" s="71">
        <v>250</v>
      </c>
      <c r="E15" s="71">
        <v>10</v>
      </c>
      <c r="F15" s="71">
        <v>5</v>
      </c>
      <c r="G15" s="91">
        <f t="shared" si="0"/>
        <v>0.13636363636363635</v>
      </c>
      <c r="H15" s="75">
        <f t="shared" si="1"/>
        <v>25</v>
      </c>
      <c r="I15" s="75">
        <f t="shared" si="2"/>
        <v>225</v>
      </c>
      <c r="J15" s="75">
        <f t="shared" si="3"/>
        <v>236.25</v>
      </c>
    </row>
    <row r="16" spans="2:20">
      <c r="B16" s="71" t="s">
        <v>160</v>
      </c>
      <c r="C16" s="71">
        <v>300</v>
      </c>
      <c r="D16" s="71">
        <v>315</v>
      </c>
      <c r="E16" s="71">
        <v>6</v>
      </c>
      <c r="F16" s="71">
        <v>12</v>
      </c>
      <c r="G16" s="91">
        <f t="shared" si="0"/>
        <v>0.05</v>
      </c>
      <c r="H16" s="75">
        <f t="shared" si="1"/>
        <v>18.899999999999999</v>
      </c>
      <c r="I16" s="75">
        <f t="shared" si="2"/>
        <v>296.10000000000002</v>
      </c>
      <c r="J16" s="75">
        <f t="shared" si="3"/>
        <v>331.63200000000001</v>
      </c>
    </row>
    <row r="17" spans="2:10">
      <c r="B17" s="71" t="s">
        <v>161</v>
      </c>
      <c r="C17" s="71">
        <v>90</v>
      </c>
      <c r="D17" s="71">
        <v>100</v>
      </c>
      <c r="E17" s="71">
        <v>5</v>
      </c>
      <c r="F17" s="71">
        <v>5</v>
      </c>
      <c r="G17" s="91">
        <f t="shared" si="0"/>
        <v>0.1111111111111111</v>
      </c>
      <c r="H17" s="75">
        <f t="shared" si="1"/>
        <v>5</v>
      </c>
      <c r="I17" s="75">
        <f t="shared" si="2"/>
        <v>95</v>
      </c>
      <c r="J17" s="75">
        <f t="shared" si="3"/>
        <v>99.75</v>
      </c>
    </row>
    <row r="18" spans="2:10">
      <c r="B18" s="71" t="s">
        <v>162</v>
      </c>
      <c r="C18" s="71">
        <v>700</v>
      </c>
      <c r="D18" s="71">
        <v>770</v>
      </c>
      <c r="E18" s="71">
        <v>7</v>
      </c>
      <c r="F18" s="71">
        <v>12</v>
      </c>
      <c r="G18" s="91">
        <f t="shared" si="0"/>
        <v>0.1</v>
      </c>
      <c r="H18" s="75">
        <f t="shared" si="1"/>
        <v>53.900000000000006</v>
      </c>
      <c r="I18" s="75">
        <f t="shared" si="2"/>
        <v>716.1</v>
      </c>
      <c r="J18" s="75">
        <f t="shared" si="3"/>
        <v>802.03200000000004</v>
      </c>
    </row>
    <row r="19" spans="2:10">
      <c r="B19" s="71" t="s">
        <v>163</v>
      </c>
      <c r="C19" s="71">
        <v>330</v>
      </c>
      <c r="D19" s="71">
        <v>350</v>
      </c>
      <c r="E19" s="71">
        <v>4</v>
      </c>
      <c r="F19" s="71">
        <v>18</v>
      </c>
      <c r="G19" s="91">
        <f t="shared" si="0"/>
        <v>6.0606060606060608E-2</v>
      </c>
      <c r="H19" s="75">
        <f t="shared" si="1"/>
        <v>14</v>
      </c>
      <c r="I19" s="75">
        <f t="shared" si="2"/>
        <v>336</v>
      </c>
      <c r="J19" s="75">
        <f t="shared" si="3"/>
        <v>396.48</v>
      </c>
    </row>
    <row r="20" spans="2:10">
      <c r="B20" s="71" t="s">
        <v>164</v>
      </c>
      <c r="C20" s="71">
        <v>160</v>
      </c>
      <c r="D20" s="71">
        <v>180</v>
      </c>
      <c r="E20" s="71">
        <v>3</v>
      </c>
      <c r="F20" s="71">
        <v>5</v>
      </c>
      <c r="G20" s="91">
        <f t="shared" si="0"/>
        <v>0.125</v>
      </c>
      <c r="H20" s="75">
        <f t="shared" si="1"/>
        <v>5.3999999999999995</v>
      </c>
      <c r="I20" s="75">
        <f t="shared" si="2"/>
        <v>174.6</v>
      </c>
      <c r="J20" s="75">
        <f t="shared" si="3"/>
        <v>183.32999999999998</v>
      </c>
    </row>
    <row r="21" spans="2:10">
      <c r="B21" s="71" t="s">
        <v>165</v>
      </c>
      <c r="C21" s="71">
        <v>280</v>
      </c>
      <c r="D21" s="71">
        <v>300</v>
      </c>
      <c r="E21" s="71">
        <v>10</v>
      </c>
      <c r="F21" s="71">
        <v>12</v>
      </c>
      <c r="G21" s="91">
        <f t="shared" si="0"/>
        <v>7.1428571428571425E-2</v>
      </c>
      <c r="H21" s="75">
        <f t="shared" si="1"/>
        <v>30</v>
      </c>
      <c r="I21" s="75">
        <f t="shared" si="2"/>
        <v>270</v>
      </c>
      <c r="J21" s="75">
        <f t="shared" si="3"/>
        <v>302.39999999999998</v>
      </c>
    </row>
    <row r="22" spans="2:10">
      <c r="B22" s="71" t="s">
        <v>166</v>
      </c>
      <c r="C22" s="71">
        <v>600</v>
      </c>
      <c r="D22" s="71">
        <v>690</v>
      </c>
      <c r="E22" s="71">
        <v>6</v>
      </c>
      <c r="F22" s="71">
        <v>18</v>
      </c>
      <c r="G22" s="91">
        <f t="shared" si="0"/>
        <v>0.15</v>
      </c>
      <c r="H22" s="75">
        <f t="shared" si="1"/>
        <v>41.4</v>
      </c>
      <c r="I22" s="75">
        <f t="shared" si="2"/>
        <v>648.6</v>
      </c>
      <c r="J22" s="75">
        <f t="shared" si="3"/>
        <v>765.34800000000007</v>
      </c>
    </row>
    <row r="23" spans="2:10">
      <c r="B23" s="71" t="s">
        <v>167</v>
      </c>
      <c r="C23" s="71">
        <v>125</v>
      </c>
      <c r="D23" s="71">
        <v>150</v>
      </c>
      <c r="E23" s="71">
        <v>12</v>
      </c>
      <c r="F23" s="71">
        <v>5</v>
      </c>
      <c r="G23" s="91">
        <f t="shared" si="0"/>
        <v>0.2</v>
      </c>
      <c r="H23" s="75">
        <f t="shared" si="1"/>
        <v>18</v>
      </c>
      <c r="I23" s="75">
        <f t="shared" si="2"/>
        <v>132</v>
      </c>
      <c r="J23" s="75">
        <f t="shared" si="3"/>
        <v>138.6</v>
      </c>
    </row>
    <row r="24" spans="2:10">
      <c r="B24" s="71" t="s">
        <v>168</v>
      </c>
      <c r="C24" s="71">
        <v>850</v>
      </c>
      <c r="D24" s="71">
        <v>820</v>
      </c>
      <c r="E24" s="71">
        <v>15</v>
      </c>
      <c r="F24" s="71">
        <v>18</v>
      </c>
      <c r="G24" s="91">
        <f t="shared" si="0"/>
        <v>-3.5294117647058823E-2</v>
      </c>
      <c r="H24" s="75">
        <f t="shared" si="1"/>
        <v>123</v>
      </c>
      <c r="I24" s="75">
        <f t="shared" si="2"/>
        <v>697</v>
      </c>
      <c r="J24" s="75">
        <f t="shared" si="3"/>
        <v>822.46</v>
      </c>
    </row>
    <row r="25" spans="2:10">
      <c r="B25" s="71" t="s">
        <v>169</v>
      </c>
      <c r="C25" s="71">
        <v>140</v>
      </c>
      <c r="D25" s="71">
        <v>160</v>
      </c>
      <c r="E25" s="71">
        <v>5</v>
      </c>
      <c r="F25" s="71">
        <v>12</v>
      </c>
      <c r="G25" s="91">
        <f t="shared" si="0"/>
        <v>0.14285714285714285</v>
      </c>
      <c r="H25" s="75">
        <f t="shared" si="1"/>
        <v>8</v>
      </c>
      <c r="I25" s="75">
        <f t="shared" si="2"/>
        <v>152</v>
      </c>
      <c r="J25" s="75">
        <f t="shared" si="3"/>
        <v>170.24</v>
      </c>
    </row>
    <row r="26" spans="2:10">
      <c r="B26" s="71" t="s">
        <v>170</v>
      </c>
      <c r="C26" s="71">
        <v>275</v>
      </c>
      <c r="D26" s="71">
        <v>300</v>
      </c>
      <c r="E26" s="71">
        <v>10</v>
      </c>
      <c r="F26" s="71">
        <v>5</v>
      </c>
      <c r="G26" s="91">
        <f t="shared" si="0"/>
        <v>9.0909090909090912E-2</v>
      </c>
      <c r="H26" s="75">
        <f t="shared" si="1"/>
        <v>30</v>
      </c>
      <c r="I26" s="75">
        <f t="shared" si="2"/>
        <v>270</v>
      </c>
      <c r="J26" s="75">
        <f t="shared" si="3"/>
        <v>283.5</v>
      </c>
    </row>
    <row r="27" spans="2:10">
      <c r="B27" s="71" t="s">
        <v>171</v>
      </c>
      <c r="C27" s="71">
        <v>180</v>
      </c>
      <c r="D27" s="71">
        <v>200</v>
      </c>
      <c r="E27" s="71">
        <v>7</v>
      </c>
      <c r="F27" s="71">
        <v>12</v>
      </c>
      <c r="G27" s="91">
        <f t="shared" si="0"/>
        <v>0.1111111111111111</v>
      </c>
      <c r="H27" s="75">
        <f t="shared" si="1"/>
        <v>14.000000000000002</v>
      </c>
      <c r="I27" s="75">
        <f t="shared" si="2"/>
        <v>186</v>
      </c>
      <c r="J27" s="75">
        <f t="shared" si="3"/>
        <v>208.32</v>
      </c>
    </row>
    <row r="28" spans="2:10">
      <c r="B28" s="71" t="s">
        <v>172</v>
      </c>
      <c r="C28" s="71">
        <v>100</v>
      </c>
      <c r="D28" s="71">
        <v>90</v>
      </c>
      <c r="E28" s="71">
        <v>10</v>
      </c>
      <c r="F28" s="71">
        <v>5</v>
      </c>
      <c r="G28" s="91">
        <f t="shared" si="0"/>
        <v>-0.1</v>
      </c>
      <c r="H28" s="75">
        <f t="shared" si="1"/>
        <v>9</v>
      </c>
      <c r="I28" s="75">
        <f t="shared" si="2"/>
        <v>81</v>
      </c>
      <c r="J28" s="75">
        <f t="shared" si="3"/>
        <v>85.05</v>
      </c>
    </row>
  </sheetData>
  <mergeCells count="8">
    <mergeCell ref="O13:S13"/>
    <mergeCell ref="O14:S14"/>
    <mergeCell ref="O11:T11"/>
    <mergeCell ref="O4:S4"/>
    <mergeCell ref="O5:S5"/>
    <mergeCell ref="O7:S7"/>
    <mergeCell ref="O8:S8"/>
    <mergeCell ref="O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showGridLines="0" zoomScale="120" zoomScaleNormal="120" workbookViewId="0">
      <selection activeCell="L4" sqref="L4"/>
    </sheetView>
  </sheetViews>
  <sheetFormatPr defaultColWidth="9.109375" defaultRowHeight="14.4"/>
  <cols>
    <col min="1" max="16384" width="9.109375" style="1"/>
  </cols>
  <sheetData>
    <row r="1" spans="1:11" s="92" customFormat="1" ht="38.25" customHeight="1">
      <c r="A1" s="102" t="s">
        <v>53</v>
      </c>
    </row>
    <row r="2" spans="1:11" ht="22.5" customHeight="1">
      <c r="F2" s="15"/>
      <c r="G2" s="16"/>
      <c r="H2" s="16"/>
      <c r="I2" s="16"/>
      <c r="J2" s="16"/>
      <c r="K2" s="17"/>
    </row>
    <row r="3" spans="1:11" ht="24.75" customHeight="1">
      <c r="F3" s="18"/>
      <c r="G3" s="19" t="s">
        <v>54</v>
      </c>
      <c r="H3" s="9"/>
      <c r="I3" s="9"/>
      <c r="J3" s="9"/>
      <c r="K3" s="20"/>
    </row>
    <row r="4" spans="1:11" ht="25.5" customHeight="1">
      <c r="F4" s="18"/>
      <c r="G4" s="19" t="s">
        <v>55</v>
      </c>
      <c r="H4" s="9"/>
      <c r="I4" s="9"/>
      <c r="J4" s="9"/>
      <c r="K4" s="20"/>
    </row>
    <row r="5" spans="1:11" ht="18">
      <c r="F5" s="18"/>
      <c r="G5" s="19" t="s">
        <v>56</v>
      </c>
      <c r="H5" s="9"/>
      <c r="I5" s="9"/>
      <c r="J5" s="9"/>
      <c r="K5" s="20"/>
    </row>
    <row r="6" spans="1:11" ht="28.5" customHeight="1">
      <c r="F6" s="18"/>
      <c r="G6" s="19" t="s">
        <v>57</v>
      </c>
      <c r="H6" s="9"/>
      <c r="I6" s="9"/>
      <c r="J6" s="9"/>
      <c r="K6" s="20"/>
    </row>
    <row r="7" spans="1:11" ht="18">
      <c r="F7" s="18"/>
      <c r="G7" s="19" t="s">
        <v>58</v>
      </c>
      <c r="H7" s="9"/>
      <c r="I7" s="9"/>
      <c r="J7" s="9"/>
      <c r="K7" s="20"/>
    </row>
    <row r="8" spans="1:11" ht="28.5" customHeight="1">
      <c r="F8" s="14"/>
      <c r="G8" s="21"/>
      <c r="H8" s="21"/>
      <c r="I8" s="21"/>
      <c r="J8" s="21"/>
      <c r="K8" s="22"/>
    </row>
  </sheetData>
  <mergeCells count="1">
    <mergeCell ref="A1:XF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1"/>
  <sheetViews>
    <sheetView zoomScale="85" zoomScaleNormal="85" workbookViewId="0">
      <selection activeCell="E19" sqref="E19"/>
    </sheetView>
  </sheetViews>
  <sheetFormatPr defaultColWidth="9.109375" defaultRowHeight="14.4"/>
  <cols>
    <col min="1" max="1" width="9.109375" style="13"/>
    <col min="2" max="2" width="34.109375" style="13" customWidth="1"/>
    <col min="3" max="3" width="28" style="13" customWidth="1"/>
    <col min="4" max="4" width="39.44140625" style="13" customWidth="1"/>
    <col min="5" max="5" width="31" style="13" customWidth="1"/>
    <col min="6" max="6" width="38.109375" style="13" customWidth="1"/>
    <col min="7" max="16384" width="9.109375" style="13"/>
  </cols>
  <sheetData>
    <row r="1" spans="2:8" s="94" customFormat="1" ht="29.25" customHeight="1"/>
    <row r="2" spans="2:8" ht="75.75" customHeight="1">
      <c r="B2" s="42" t="s">
        <v>59</v>
      </c>
      <c r="C2" s="43" t="s">
        <v>60</v>
      </c>
      <c r="D2" s="43" t="s">
        <v>61</v>
      </c>
      <c r="E2" s="43" t="s">
        <v>62</v>
      </c>
      <c r="F2" s="44" t="s">
        <v>63</v>
      </c>
    </row>
    <row r="3" spans="2:8" ht="23.4">
      <c r="B3" s="45" t="s">
        <v>64</v>
      </c>
      <c r="C3" s="46" t="s">
        <v>65</v>
      </c>
      <c r="D3" s="47" t="s">
        <v>66</v>
      </c>
      <c r="E3" s="47" t="s">
        <v>72</v>
      </c>
      <c r="F3" s="47" t="s">
        <v>68</v>
      </c>
      <c r="G3" s="23"/>
      <c r="H3" s="23"/>
    </row>
    <row r="4" spans="2:8" ht="34.5" customHeight="1">
      <c r="B4" s="45" t="s">
        <v>69</v>
      </c>
      <c r="C4" s="48" t="s">
        <v>70</v>
      </c>
      <c r="D4" s="47" t="s">
        <v>71</v>
      </c>
      <c r="E4" s="65" t="s">
        <v>77</v>
      </c>
      <c r="F4" s="47" t="s">
        <v>73</v>
      </c>
      <c r="G4" s="23"/>
      <c r="H4" s="23"/>
    </row>
    <row r="5" spans="2:8" ht="38.25" customHeight="1">
      <c r="B5" s="45" t="s">
        <v>74</v>
      </c>
      <c r="C5" s="46" t="s">
        <v>75</v>
      </c>
      <c r="D5" s="47" t="s">
        <v>76</v>
      </c>
      <c r="E5" s="66" t="s">
        <v>81</v>
      </c>
      <c r="F5" s="48"/>
      <c r="G5" s="23"/>
      <c r="H5" s="23"/>
    </row>
    <row r="6" spans="2:8" ht="37.5" customHeight="1">
      <c r="B6" s="45" t="s">
        <v>78</v>
      </c>
      <c r="C6" s="46" t="s">
        <v>79</v>
      </c>
      <c r="D6" s="47" t="s">
        <v>80</v>
      </c>
      <c r="E6" s="65" t="s">
        <v>67</v>
      </c>
      <c r="F6" s="48"/>
      <c r="G6" s="23"/>
      <c r="H6" s="23"/>
    </row>
    <row r="7" spans="2:8" ht="37.5" customHeight="1">
      <c r="B7" s="45" t="s">
        <v>82</v>
      </c>
      <c r="C7" s="46" t="s">
        <v>83</v>
      </c>
      <c r="D7" s="47" t="s">
        <v>84</v>
      </c>
      <c r="E7" s="65" t="s">
        <v>139</v>
      </c>
      <c r="F7" s="48"/>
      <c r="G7" s="23"/>
      <c r="H7" s="23"/>
    </row>
    <row r="8" spans="2:8" ht="27.75" customHeight="1">
      <c r="B8" s="45" t="s">
        <v>85</v>
      </c>
      <c r="C8" s="48" t="s">
        <v>86</v>
      </c>
      <c r="D8" s="47" t="s">
        <v>87</v>
      </c>
      <c r="E8" s="65" t="s">
        <v>140</v>
      </c>
      <c r="F8" s="48"/>
      <c r="G8" s="23"/>
      <c r="H8" s="23"/>
    </row>
    <row r="9" spans="2:8" ht="32.25" customHeight="1">
      <c r="B9" s="45" t="s">
        <v>88</v>
      </c>
      <c r="C9" s="45" t="s">
        <v>89</v>
      </c>
      <c r="D9" s="47" t="s">
        <v>90</v>
      </c>
      <c r="E9" s="48"/>
      <c r="F9" s="48"/>
      <c r="G9" s="23"/>
      <c r="H9" s="23"/>
    </row>
    <row r="10" spans="2:8" ht="45.75" customHeight="1">
      <c r="B10" s="45" t="s">
        <v>91</v>
      </c>
      <c r="C10" s="46" t="s">
        <v>92</v>
      </c>
      <c r="D10" s="49" t="s">
        <v>93</v>
      </c>
      <c r="E10" s="48"/>
      <c r="F10" s="48"/>
      <c r="G10" s="23"/>
      <c r="H10" s="23"/>
    </row>
    <row r="11" spans="2:8" ht="33.75" customHeight="1">
      <c r="B11" s="50" t="s">
        <v>94</v>
      </c>
      <c r="C11" s="48" t="s">
        <v>95</v>
      </c>
      <c r="D11" s="51" t="s">
        <v>96</v>
      </c>
      <c r="E11" s="31"/>
      <c r="F11" s="31"/>
    </row>
  </sheetData>
  <mergeCells count="1">
    <mergeCell ref="A1:XFD1"/>
  </mergeCells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TY330155"/>
  <sheetViews>
    <sheetView workbookViewId="0"/>
  </sheetViews>
  <sheetFormatPr defaultRowHeight="14.4"/>
  <sheetData>
    <row r="330155" spans="4601:4601">
      <c r="FTY33015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Agenda</vt:lpstr>
      <vt:lpstr>Oper Precedence</vt:lpstr>
      <vt:lpstr>Formulas&amp;Description</vt:lpstr>
      <vt:lpstr>Formulas1</vt:lpstr>
      <vt:lpstr>Formulas</vt:lpstr>
      <vt:lpstr>Formulass</vt:lpstr>
      <vt:lpstr>Percentage Formulas</vt:lpstr>
      <vt:lpstr>FUNCTION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archana ks</cp:lastModifiedBy>
  <dcterms:created xsi:type="dcterms:W3CDTF">2024-12-31T04:35:00Z</dcterms:created>
  <dcterms:modified xsi:type="dcterms:W3CDTF">2026-06-26T06:11:32Z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BD2F87EA3C5D46CEB814AC0B5E20D360_11</vt:lpwstr>
  </property>
  <property fmtid="{D5CDD505-2E9C-101B-9397-08002B2CF9AE}" pid="3" name="KSOProductBuildVer">
    <vt:lpwstr>1033-12.2.0.18639</vt:lpwstr>
  </property>
</Properties>
</file>